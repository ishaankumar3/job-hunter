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S:\Design &amp; Construction\3. Design Warrington\3. Water\Graduate Folder 2023-24\Ishaan\Personal\cvv32water\Tracker\"/>
    </mc:Choice>
  </mc:AlternateContent>
  <xr:revisionPtr revIDLastSave="0" documentId="13_ncr:1_{6E6AA595-79C0-4997-A8A6-1119EAE16F1C}" xr6:coauthVersionLast="47" xr6:coauthVersionMax="47" xr10:uidLastSave="{00000000-0000-0000-0000-000000000000}"/>
  <bookViews>
    <workbookView xWindow="-28920" yWindow="8130" windowWidth="29040" windowHeight="15720" xr2:uid="{00000000-000D-0000-FFFF-FFFF00000000}"/>
  </bookViews>
  <sheets>
    <sheet name="Job Applications" sheetId="1" r:id="rId1"/>
    <sheet name="Sta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0" i="2"/>
  <c r="B9" i="2"/>
  <c r="B8" i="2"/>
  <c r="B7" i="2"/>
  <c r="B6" i="2"/>
  <c r="B5" i="2"/>
  <c r="B4" i="2"/>
  <c r="B3" i="2"/>
  <c r="B11" i="2" s="1"/>
  <c r="B12" i="2" l="1"/>
</calcChain>
</file>

<file path=xl/sharedStrings.xml><?xml version="1.0" encoding="utf-8"?>
<sst xmlns="http://schemas.openxmlformats.org/spreadsheetml/2006/main" count="263" uniqueCount="124">
  <si>
    <t>Job ID</t>
  </si>
  <si>
    <t>Date Sent</t>
  </si>
  <si>
    <t>Job Title</t>
  </si>
  <si>
    <t>Company</t>
  </si>
  <si>
    <t>Location</t>
  </si>
  <si>
    <t>Salary</t>
  </si>
  <si>
    <t>Source</t>
  </si>
  <si>
    <t>Sponsorship</t>
  </si>
  <si>
    <t>Score</t>
  </si>
  <si>
    <t>Job URL</t>
  </si>
  <si>
    <t>Applied?</t>
  </si>
  <si>
    <t>Date Applied</t>
  </si>
  <si>
    <t>Outcome</t>
  </si>
  <si>
    <t>Why No?</t>
  </si>
  <si>
    <t>Notes</t>
  </si>
  <si>
    <t>91f378388bbb</t>
  </si>
  <si>
    <t>15/02/2026</t>
  </si>
  <si>
    <t>Water Engineer/Hydraulic Modeller</t>
  </si>
  <si>
    <t>ALDWYCH CONSULTING LTD</t>
  </si>
  <si>
    <t>South East London, London</t>
  </si>
  <si>
    <t>£45,000 – £45,000</t>
  </si>
  <si>
    <t>Adzuna UK</t>
  </si>
  <si>
    <t>CONFIRMED</t>
  </si>
  <si>
    <t>Apply Here</t>
  </si>
  <si>
    <t>Pending</t>
  </si>
  <si>
    <t>33d1e821e300</t>
  </si>
  <si>
    <t>Aldwych Consulting Ltd</t>
  </si>
  <si>
    <t>London, UK</t>
  </si>
  <si>
    <t>£40,000 – £48,000</t>
  </si>
  <si>
    <t>12d728954ff6</t>
  </si>
  <si>
    <t>Aldwych Consulting</t>
  </si>
  <si>
    <t>Farringdon, Central London</t>
  </si>
  <si>
    <t>0034bed26e43</t>
  </si>
  <si>
    <t>Senior Civil Engineer, Water</t>
  </si>
  <si>
    <t>AECOM</t>
  </si>
  <si>
    <t>St. Albans, Hertfordshire</t>
  </si>
  <si>
    <t>£42,509 – £42,509</t>
  </si>
  <si>
    <t>d0e6c96fa336</t>
  </si>
  <si>
    <t>£43,633 – £43,633</t>
  </si>
  <si>
    <t>ee386e08a3ca</t>
  </si>
  <si>
    <t>Mechanical Design Engineer</t>
  </si>
  <si>
    <t>Thames Water</t>
  </si>
  <si>
    <t>Caversham, Reading</t>
  </si>
  <si>
    <t>£42,640 – £55,000</t>
  </si>
  <si>
    <t>d578bc4c768f</t>
  </si>
  <si>
    <t>Recruiter</t>
  </si>
  <si>
    <t>Reading, Berkshire</t>
  </si>
  <si>
    <t>9dc5b325f2eb</t>
  </si>
  <si>
    <t>Mechanical Design Engineer - Water</t>
  </si>
  <si>
    <t>SSA Recruitment</t>
  </si>
  <si>
    <t>West Hampstead, North West London</t>
  </si>
  <si>
    <t>£55,000 – £65,000</t>
  </si>
  <si>
    <t>aabe29c643e4</t>
  </si>
  <si>
    <t>Senior Water Network Engineer/Modellers</t>
  </si>
  <si>
    <t>Jacobs</t>
  </si>
  <si>
    <t>£50,253 – £50,253</t>
  </si>
  <si>
    <t>c87e01af5979</t>
  </si>
  <si>
    <t>Hydraulics Engineers - UK Wide</t>
  </si>
  <si>
    <t>£48,252 – £48,252</t>
  </si>
  <si>
    <t>c43e11ff8ca9</t>
  </si>
  <si>
    <t>£49,369 – £49,369</t>
  </si>
  <si>
    <t>554b6c540a31</t>
  </si>
  <si>
    <t>Civil Engineer - Water</t>
  </si>
  <si>
    <t>Stantec</t>
  </si>
  <si>
    <t>High Wycombe, Buckinghamshire</t>
  </si>
  <si>
    <t>£50,309 – £50,309</t>
  </si>
  <si>
    <t>6b5e6cd83ae0</t>
  </si>
  <si>
    <t>£50,558 – £50,558</t>
  </si>
  <si>
    <t>1cbc31004a24</t>
  </si>
  <si>
    <t>Stantec UK</t>
  </si>
  <si>
    <t>£44,336 – £44,336</t>
  </si>
  <si>
    <t>42be6efe69a3</t>
  </si>
  <si>
    <t>Senior Mechanical Engineer - Water</t>
  </si>
  <si>
    <t>£46,954 – £46,954</t>
  </si>
  <si>
    <t>2a82b73d433a</t>
  </si>
  <si>
    <t>£47,744 – £47,744</t>
  </si>
  <si>
    <t>dfe15f60b7a2</t>
  </si>
  <si>
    <t>Croydon, London</t>
  </si>
  <si>
    <t>£46,355 – £46,355</t>
  </si>
  <si>
    <t>b296d50b7dce</t>
  </si>
  <si>
    <t>Quantity Surveyors THAMES</t>
  </si>
  <si>
    <t>Matchtech</t>
  </si>
  <si>
    <t>£45,000 – £75,000</t>
  </si>
  <si>
    <t>795cc27c4699</t>
  </si>
  <si>
    <t>Electrical Engineer</t>
  </si>
  <si>
    <t>Mott MacDonald</t>
  </si>
  <si>
    <t>£51,358 – £51,358</t>
  </si>
  <si>
    <t>ec0341cc70f7</t>
  </si>
  <si>
    <t>Drainage Design Engineer</t>
  </si>
  <si>
    <t>Pave Recruit</t>
  </si>
  <si>
    <t>Richmond, West London</t>
  </si>
  <si>
    <t>£38,000 – £44,000</t>
  </si>
  <si>
    <t>Application Stats — Ishaan Kumar</t>
  </si>
  <si>
    <t>Total Jobs Sent</t>
  </si>
  <si>
    <t>Applied</t>
  </si>
  <si>
    <t>Not Applied (skipped)</t>
  </si>
  <si>
    <t>Awaiting Decision</t>
  </si>
  <si>
    <t>Interviews</t>
  </si>
  <si>
    <t>2nd Interviews</t>
  </si>
  <si>
    <t>Offers</t>
  </si>
  <si>
    <t>Rejected by employer</t>
  </si>
  <si>
    <t>Application Rate</t>
  </si>
  <si>
    <t>Interview Rate</t>
  </si>
  <si>
    <t>---</t>
  </si>
  <si>
    <t>Why No — Too junior</t>
  </si>
  <si>
    <t>Why No — Too senior</t>
  </si>
  <si>
    <t>Why No — Wrong sector</t>
  </si>
  <si>
    <t>Why No — Wrong location</t>
  </si>
  <si>
    <t>Why No — Salary too low</t>
  </si>
  <si>
    <t>Why No — Contract role</t>
  </si>
  <si>
    <t>Why No — Missing cert</t>
  </si>
  <si>
    <t>Why No — Other</t>
  </si>
  <si>
    <t>No</t>
  </si>
  <si>
    <t>Other</t>
  </si>
  <si>
    <t>Too senior / overqualified</t>
  </si>
  <si>
    <t>5-8 years of experience</t>
  </si>
  <si>
    <t>Duplicate / already applied</t>
  </si>
  <si>
    <t>Same as the role in previous row</t>
  </si>
  <si>
    <t>Vacency closed</t>
  </si>
  <si>
    <t>Does not sponser for the role</t>
  </si>
  <si>
    <t>Yes</t>
  </si>
  <si>
    <t>Rejected</t>
  </si>
  <si>
    <t>Missing required licence/cert</t>
  </si>
  <si>
    <t xml:space="preserve">Requir Quantity Surveying degree and experince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</si>
</sst>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3"/>
      <color rgb="FF1A3A5C"/>
      <name val="Arial"/>
    </font>
    <font>
      <b/>
      <sz val="10"/>
      <name val="Arial"/>
    </font>
    <font>
      <sz val="10"/>
      <name val="Arial"/>
    </font>
    <font>
      <sz val="9"/>
      <name val="Arial"/>
    </font>
    <font>
      <u/>
      <sz val="9"/>
      <color rgb="FF1A6FA8"/>
      <name val="Arial"/>
    </font>
    <font>
      <i/>
      <sz val="9"/>
      <color rgb="FF7442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6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horizontal="left" vertical="center"/>
    </xf>
    <xf numFmtId="0" fontId="7" fillId="9" borderId="3" xfId="0" applyFont="1" applyFill="1" applyBorder="1" applyAlignment="1">
      <alignment horizontal="left" vertical="center"/>
    </xf>
    <xf numFmtId="0" fontId="5" fillId="10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horizontal="left" vertical="center"/>
    </xf>
    <xf numFmtId="0" fontId="5" fillId="11" borderId="3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0" fillId="0" borderId="0" xfId="0"/>
    <xf numFmtId="14" fontId="5" fillId="11" borderId="3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/><Relationship Id="rId13" Type="http://schemas.openxmlformats.org/officeDocument/2006/relationships/hyperlink" Target="https://www.adzuna.co.uk/jobs/details/5606871512?utm_medium=api&amp;utm_source=692fc859" TargetMode="External"/><Relationship Id="rId18" Type="http://schemas.openxmlformats.org/officeDocument/2006/relationships/hyperlink" Target="https://www.adzuna.co.uk/jobs/details/5606116497?utm_medium=api&amp;utm_source=692fc859" TargetMode="External"/><Relationship Id="rId3"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/><Relationship Id="rId7" Type="http://schemas.openxmlformats.org/officeDocument/2006/relationships/hyperlink" Target="https://www.adzuna.co.uk/jobs/details/5612533322?utm_medium=api&amp;utm_source=692fc859" TargetMode="External"/><Relationship Id="rId12" Type="http://schemas.openxmlformats.org/officeDocument/2006/relationships/hyperlink" Target="https://www.adzuna.co.uk/jobs/details/5606871514?utm_medium=api&amp;utm_source=692fc859" TargetMode="External"/><Relationship Id="rId17" Type="http://schemas.openxmlformats.org/officeDocument/2006/relationships/hyperlink" Target="https://www.adzuna.co.uk/jobs/details/5604386848?utm_medium=api&amp;utm_source=692fc859" TargetMode="External"/><Relationship Id="rId2" Type="http://schemas.openxmlformats.org/officeDocument/2006/relationships/hyperlink" Target="https://www.adzuna.co.uk/jobs/details/5626297667?utm_medium=api&amp;utm_source=692fc859" TargetMode="External"/><Relationship Id="rId16" Type="http://schemas.openxmlformats.org/officeDocument/2006/relationships/hyperlink" Target="https://www.adzuna.co.uk/jobs/details/5604386841?utm_medium=api&amp;utm_source=692fc859" TargetMode="External"/><Relationship Id="rId20"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/><Relationship Id="rId1"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/><Relationship Id="rId6" Type="http://schemas.openxmlformats.org/officeDocument/2006/relationships/hyperlink" Target="https://www.adzuna.co.uk/jobs/details/5628154572?utm_medium=api&amp;utm_source=692fc859" TargetMode="External"/><Relationship Id="rId11"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/><Relationship Id="rId5" Type="http://schemas.openxmlformats.org/officeDocument/2006/relationships/hyperlink" Target="https://www.adzuna.co.uk/jobs/details/5605926933?utm_medium=api&amp;utm_source=692fc859" TargetMode="External"/><Relationship Id="rId15" Type="http://schemas.openxmlformats.org/officeDocument/2006/relationships/hyperlink" Target="https://www.adzuna.co.uk/jobs/details/5604386842?utm_medium=api&amp;utm_source=692fc859" TargetMode="External"/><Relationship Id="rId10"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/><Relationship Id="rId19" Type="http://schemas.openxmlformats.org/officeDocument/2006/relationships/hyperlink" Target="https://www.adzuna.co.uk/jobs/details/5628754871?utm_medium=api&amp;utm_source=692fc859" TargetMode="External"/><Relationship Id="rId4" Type="http://schemas.openxmlformats.org/officeDocument/2006/relationships/hyperlink" Target="https://www.adzuna.co.uk/jobs/details/5605926935?utm_medium=api&amp;utm_source=692fc859" TargetMode="External"/><Relationship Id="rId9"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/><Relationship Id="rId14" Type="http://schemas.openxmlformats.org/officeDocument/2006/relationships/hyperlink" Target="https://www.adzuna.co.uk/jobs/details/5606181785?utm_medium=api&amp;utm_source=692fc8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L8" sqref="L8"/>
    </sheetView>
  </sheetViews>
  <sheetFormatPr defaultRowHeight="15" x14ac:dyDescent="0.25"/>
  <cols>
    <col min="1" max="1" width="14" hidden="1" customWidth="1"/>
    <col min="2" max="2" width="13" customWidth="1"/>
    <col min="3" max="3" width="32" customWidth="1"/>
    <col min="4" max="4" width="24" customWidth="1"/>
    <col min="5" max="6" width="20" customWidth="1"/>
    <col min="7" max="7" width="13" customWidth="1"/>
    <col min="8" max="8" width="18" customWidth="1"/>
    <col min="9" max="9" width="7" customWidth="1"/>
    <col min="10" max="10" width="45" customWidth="1"/>
    <col min="11" max="11" width="11" customWidth="1"/>
    <col min="12" max="12" width="14" customWidth="1"/>
    <col min="13" max="13" width="20" customWidth="1"/>
    <col min="14" max="14" width="40" customWidth="1"/>
    <col min="15" max="15" width="30" customWidth="1"/>
  </cols>
  <sheetData>
    <row r="1" spans="1:15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15.95" customHeight="1" x14ac:dyDescent="0.25">
      <c r="A2" s="8" t="s">
        <v>15</v>
      </c>
      <c r="B2" s="8" t="s">
        <v>16</v>
      </c>
      <c r="C2" s="8" t="s">
        <v>17</v>
      </c>
      <c r="D2" s="8" t="s">
        <v>18</v>
      </c>
      <c r="E2" s="8" t="s">
        <v>19</v>
      </c>
      <c r="F2" s="8" t="s">
        <v>20</v>
      </c>
      <c r="G2" s="8" t="s">
        <v>21</v>
      </c>
      <c r="H2" s="9" t="s">
        <v>22</v>
      </c>
      <c r="I2" s="8">
        <v>80</v>
      </c>
      <c r="J2" s="10" t="s">
        <v>23</v>
      </c>
      <c r="K2" s="11" t="s">
        <v>112</v>
      </c>
      <c r="L2" s="11"/>
      <c r="M2" s="11" t="s">
        <v>24</v>
      </c>
      <c r="N2" s="12" t="s">
        <v>114</v>
      </c>
      <c r="O2" s="11" t="s">
        <v>115</v>
      </c>
    </row>
    <row r="3" spans="1:15" ht="15.95" customHeight="1" x14ac:dyDescent="0.25">
      <c r="A3" s="13" t="s">
        <v>25</v>
      </c>
      <c r="B3" s="13" t="s">
        <v>16</v>
      </c>
      <c r="C3" s="13" t="s">
        <v>17</v>
      </c>
      <c r="D3" s="13" t="s">
        <v>26</v>
      </c>
      <c r="E3" s="13" t="s">
        <v>27</v>
      </c>
      <c r="F3" s="13" t="s">
        <v>28</v>
      </c>
      <c r="G3" s="13" t="s">
        <v>21</v>
      </c>
      <c r="H3" s="9" t="s">
        <v>22</v>
      </c>
      <c r="I3" s="13">
        <v>80</v>
      </c>
      <c r="J3" s="14" t="s">
        <v>23</v>
      </c>
      <c r="K3" s="15" t="s">
        <v>112</v>
      </c>
      <c r="L3" s="15"/>
      <c r="M3" s="15" t="s">
        <v>24</v>
      </c>
      <c r="N3" s="16" t="s">
        <v>116</v>
      </c>
      <c r="O3" s="15" t="s">
        <v>117</v>
      </c>
    </row>
    <row r="4" spans="1:15" ht="15.95" customHeight="1" x14ac:dyDescent="0.25">
      <c r="A4" s="8" t="s">
        <v>29</v>
      </c>
      <c r="B4" s="8" t="s">
        <v>16</v>
      </c>
      <c r="C4" s="8" t="s">
        <v>17</v>
      </c>
      <c r="D4" s="8" t="s">
        <v>30</v>
      </c>
      <c r="E4" s="8" t="s">
        <v>31</v>
      </c>
      <c r="F4" s="8" t="s">
        <v>28</v>
      </c>
      <c r="G4" s="8" t="s">
        <v>21</v>
      </c>
      <c r="H4" s="9" t="s">
        <v>22</v>
      </c>
      <c r="I4" s="8">
        <v>80</v>
      </c>
      <c r="J4" s="10" t="s">
        <v>23</v>
      </c>
      <c r="K4" s="11" t="s">
        <v>112</v>
      </c>
      <c r="L4" s="11"/>
      <c r="M4" s="11" t="s">
        <v>24</v>
      </c>
      <c r="N4" s="12" t="s">
        <v>116</v>
      </c>
      <c r="O4" s="15" t="s">
        <v>117</v>
      </c>
    </row>
    <row r="5" spans="1:15" ht="15.95" customHeight="1" x14ac:dyDescent="0.25">
      <c r="A5" s="13" t="s">
        <v>32</v>
      </c>
      <c r="B5" s="13" t="s">
        <v>16</v>
      </c>
      <c r="C5" s="13" t="s">
        <v>33</v>
      </c>
      <c r="D5" s="13" t="s">
        <v>34</v>
      </c>
      <c r="E5" s="13" t="s">
        <v>35</v>
      </c>
      <c r="F5" s="13" t="s">
        <v>36</v>
      </c>
      <c r="G5" s="13" t="s">
        <v>21</v>
      </c>
      <c r="H5" s="9" t="s">
        <v>22</v>
      </c>
      <c r="I5" s="13">
        <v>80</v>
      </c>
      <c r="J5" s="14" t="s">
        <v>23</v>
      </c>
      <c r="K5" s="15" t="s">
        <v>112</v>
      </c>
      <c r="L5" s="15"/>
      <c r="M5" s="15" t="s">
        <v>24</v>
      </c>
      <c r="N5" s="16" t="s">
        <v>113</v>
      </c>
      <c r="O5" s="15" t="s">
        <v>118</v>
      </c>
    </row>
    <row r="6" spans="1:15" ht="15.95" customHeight="1" x14ac:dyDescent="0.25">
      <c r="A6" s="8" t="s">
        <v>37</v>
      </c>
      <c r="B6" s="8" t="s">
        <v>16</v>
      </c>
      <c r="C6" s="8" t="s">
        <v>33</v>
      </c>
      <c r="D6" s="8" t="s">
        <v>34</v>
      </c>
      <c r="E6" s="8" t="s">
        <v>27</v>
      </c>
      <c r="F6" s="8" t="s">
        <v>38</v>
      </c>
      <c r="G6" s="8" t="s">
        <v>21</v>
      </c>
      <c r="H6" s="9" t="s">
        <v>22</v>
      </c>
      <c r="I6" s="8">
        <v>80</v>
      </c>
      <c r="J6" s="10" t="s">
        <v>23</v>
      </c>
      <c r="K6" s="11"/>
      <c r="L6" s="11"/>
      <c r="M6" s="11" t="s">
        <v>24</v>
      </c>
      <c r="N6" s="12"/>
      <c r="O6" s="11"/>
    </row>
    <row r="7" spans="1:15" ht="15.95" customHeight="1" x14ac:dyDescent="0.25">
      <c r="A7" s="13" t="s">
        <v>39</v>
      </c>
      <c r="B7" s="13" t="s">
        <v>16</v>
      </c>
      <c r="C7" s="13" t="s">
        <v>40</v>
      </c>
      <c r="D7" s="13" t="s">
        <v>41</v>
      </c>
      <c r="E7" s="13" t="s">
        <v>42</v>
      </c>
      <c r="F7" s="13" t="s">
        <v>43</v>
      </c>
      <c r="G7" s="13" t="s">
        <v>21</v>
      </c>
      <c r="H7" s="9" t="s">
        <v>22</v>
      </c>
      <c r="I7" s="13">
        <v>75</v>
      </c>
      <c r="J7" s="14" t="s">
        <v>23</v>
      </c>
      <c r="K7" s="15" t="s">
        <v>112</v>
      </c>
      <c r="L7" s="15"/>
      <c r="M7" s="15" t="s">
        <v>24</v>
      </c>
      <c r="N7" s="16" t="s">
        <v>113</v>
      </c>
      <c r="O7" s="15" t="s">
        <v>119</v>
      </c>
    </row>
    <row r="8" spans="1:15" ht="15.95" customHeight="1" x14ac:dyDescent="0.25">
      <c r="A8" s="8" t="s">
        <v>44</v>
      </c>
      <c r="B8" s="8" t="s">
        <v>16</v>
      </c>
      <c r="C8" s="8" t="s">
        <v>40</v>
      </c>
      <c r="D8" s="8" t="s">
        <v>45</v>
      </c>
      <c r="E8" s="8" t="s">
        <v>46</v>
      </c>
      <c r="F8" s="8" t="s">
        <v>43</v>
      </c>
      <c r="G8" s="8" t="s">
        <v>21</v>
      </c>
      <c r="H8" s="9" t="s">
        <v>22</v>
      </c>
      <c r="I8" s="8">
        <v>75</v>
      </c>
      <c r="J8" s="10" t="s">
        <v>23</v>
      </c>
      <c r="K8" s="11" t="s">
        <v>112</v>
      </c>
      <c r="L8" s="11"/>
      <c r="M8" s="11" t="s">
        <v>24</v>
      </c>
      <c r="N8" s="12" t="s">
        <v>113</v>
      </c>
      <c r="O8" s="15" t="s">
        <v>118</v>
      </c>
    </row>
    <row r="9" spans="1:15" ht="15.95" customHeight="1" x14ac:dyDescent="0.25">
      <c r="A9" s="13" t="s">
        <v>47</v>
      </c>
      <c r="B9" s="13" t="s">
        <v>16</v>
      </c>
      <c r="C9" s="13" t="s">
        <v>48</v>
      </c>
      <c r="D9" s="13" t="s">
        <v>49</v>
      </c>
      <c r="E9" s="13" t="s">
        <v>50</v>
      </c>
      <c r="F9" s="13" t="s">
        <v>51</v>
      </c>
      <c r="G9" s="13" t="s">
        <v>21</v>
      </c>
      <c r="H9" s="9" t="s">
        <v>22</v>
      </c>
      <c r="I9" s="13">
        <v>65</v>
      </c>
      <c r="J9" s="14" t="s">
        <v>23</v>
      </c>
      <c r="K9" s="15"/>
      <c r="L9" s="15"/>
      <c r="M9" s="15" t="s">
        <v>24</v>
      </c>
      <c r="N9" s="16"/>
      <c r="O9" s="15"/>
    </row>
    <row r="10" spans="1:15" ht="15.95" customHeight="1" x14ac:dyDescent="0.25">
      <c r="A10" s="8" t="s">
        <v>52</v>
      </c>
      <c r="B10" s="8" t="s">
        <v>16</v>
      </c>
      <c r="C10" s="8" t="s">
        <v>53</v>
      </c>
      <c r="D10" s="8" t="s">
        <v>54</v>
      </c>
      <c r="E10" s="8" t="s">
        <v>46</v>
      </c>
      <c r="F10" s="8" t="s">
        <v>55</v>
      </c>
      <c r="G10" s="8" t="s">
        <v>21</v>
      </c>
      <c r="H10" s="9" t="s">
        <v>22</v>
      </c>
      <c r="I10" s="8">
        <v>65</v>
      </c>
      <c r="J10" s="10" t="s">
        <v>23</v>
      </c>
      <c r="K10" s="11"/>
      <c r="L10" s="11"/>
      <c r="M10" s="11" t="s">
        <v>24</v>
      </c>
      <c r="N10" s="12"/>
      <c r="O10" s="11"/>
    </row>
    <row r="11" spans="1:15" ht="15.95" customHeight="1" x14ac:dyDescent="0.25">
      <c r="A11" s="13" t="s">
        <v>56</v>
      </c>
      <c r="B11" s="13" t="s">
        <v>16</v>
      </c>
      <c r="C11" s="13" t="s">
        <v>57</v>
      </c>
      <c r="D11" s="13" t="s">
        <v>54</v>
      </c>
      <c r="E11" s="13" t="s">
        <v>46</v>
      </c>
      <c r="F11" s="13" t="s">
        <v>58</v>
      </c>
      <c r="G11" s="13" t="s">
        <v>21</v>
      </c>
      <c r="H11" s="9" t="s">
        <v>22</v>
      </c>
      <c r="I11" s="13">
        <v>65</v>
      </c>
      <c r="J11" s="14" t="s">
        <v>23</v>
      </c>
      <c r="K11" s="15"/>
      <c r="L11" s="15"/>
      <c r="M11" s="15" t="s">
        <v>24</v>
      </c>
      <c r="N11" s="16"/>
      <c r="O11" s="15"/>
    </row>
    <row r="12" spans="1:15" ht="15.95" customHeight="1" x14ac:dyDescent="0.25">
      <c r="A12" s="8" t="s">
        <v>59</v>
      </c>
      <c r="B12" s="8" t="s">
        <v>16</v>
      </c>
      <c r="C12" s="8" t="s">
        <v>57</v>
      </c>
      <c r="D12" s="8" t="s">
        <v>54</v>
      </c>
      <c r="E12" s="8" t="s">
        <v>27</v>
      </c>
      <c r="F12" s="8" t="s">
        <v>60</v>
      </c>
      <c r="G12" s="8" t="s">
        <v>21</v>
      </c>
      <c r="H12" s="9" t="s">
        <v>22</v>
      </c>
      <c r="I12" s="8">
        <v>65</v>
      </c>
      <c r="J12" s="10" t="s">
        <v>23</v>
      </c>
      <c r="K12" s="11"/>
      <c r="L12" s="11"/>
      <c r="M12" s="11" t="s">
        <v>24</v>
      </c>
      <c r="N12" s="12"/>
      <c r="O12" s="11"/>
    </row>
    <row r="13" spans="1:15" ht="15.95" customHeight="1" x14ac:dyDescent="0.25">
      <c r="A13" s="13" t="s">
        <v>61</v>
      </c>
      <c r="B13" s="13" t="s">
        <v>16</v>
      </c>
      <c r="C13" s="13" t="s">
        <v>62</v>
      </c>
      <c r="D13" s="13" t="s">
        <v>63</v>
      </c>
      <c r="E13" s="13" t="s">
        <v>64</v>
      </c>
      <c r="F13" s="13" t="s">
        <v>65</v>
      </c>
      <c r="G13" s="13" t="s">
        <v>21</v>
      </c>
      <c r="H13" s="9" t="s">
        <v>22</v>
      </c>
      <c r="I13" s="13">
        <v>60</v>
      </c>
      <c r="J13" s="14" t="s">
        <v>23</v>
      </c>
      <c r="K13" s="15" t="s">
        <v>120</v>
      </c>
      <c r="L13" s="19">
        <v>46060</v>
      </c>
      <c r="M13" s="15" t="s">
        <v>121</v>
      </c>
      <c r="N13" s="16"/>
      <c r="O13" s="15"/>
    </row>
    <row r="14" spans="1:15" ht="15.95" customHeight="1" x14ac:dyDescent="0.25">
      <c r="A14" s="8" t="s">
        <v>66</v>
      </c>
      <c r="B14" s="8" t="s">
        <v>16</v>
      </c>
      <c r="C14" s="8" t="s">
        <v>62</v>
      </c>
      <c r="D14" s="8" t="s">
        <v>63</v>
      </c>
      <c r="E14" s="8" t="s">
        <v>46</v>
      </c>
      <c r="F14" s="8" t="s">
        <v>67</v>
      </c>
      <c r="G14" s="8" t="s">
        <v>21</v>
      </c>
      <c r="H14" s="9" t="s">
        <v>22</v>
      </c>
      <c r="I14" s="8">
        <v>60</v>
      </c>
      <c r="J14" s="10" t="s">
        <v>23</v>
      </c>
      <c r="K14" s="11" t="s">
        <v>112</v>
      </c>
      <c r="L14" s="11"/>
      <c r="M14" s="11" t="s">
        <v>24</v>
      </c>
      <c r="N14" s="12" t="s">
        <v>116</v>
      </c>
      <c r="O14" s="15" t="s">
        <v>117</v>
      </c>
    </row>
    <row r="15" spans="1:15" ht="15.95" customHeight="1" x14ac:dyDescent="0.25">
      <c r="A15" s="13" t="s">
        <v>68</v>
      </c>
      <c r="B15" s="13" t="s">
        <v>16</v>
      </c>
      <c r="C15" s="13" t="s">
        <v>62</v>
      </c>
      <c r="D15" s="13" t="s">
        <v>69</v>
      </c>
      <c r="E15" s="13" t="s">
        <v>42</v>
      </c>
      <c r="F15" s="13" t="s">
        <v>70</v>
      </c>
      <c r="G15" s="13" t="s">
        <v>21</v>
      </c>
      <c r="H15" s="9" t="s">
        <v>22</v>
      </c>
      <c r="I15" s="13">
        <v>60</v>
      </c>
      <c r="J15" s="14" t="s">
        <v>23</v>
      </c>
      <c r="K15" s="15" t="s">
        <v>112</v>
      </c>
      <c r="L15" s="15"/>
      <c r="M15" s="15" t="s">
        <v>24</v>
      </c>
      <c r="N15" s="16" t="s">
        <v>116</v>
      </c>
      <c r="O15" s="15" t="s">
        <v>117</v>
      </c>
    </row>
    <row r="16" spans="1:15" ht="15.95" customHeight="1" x14ac:dyDescent="0.25">
      <c r="A16" s="8" t="s">
        <v>71</v>
      </c>
      <c r="B16" s="8" t="s">
        <v>16</v>
      </c>
      <c r="C16" s="8" t="s">
        <v>72</v>
      </c>
      <c r="D16" s="8" t="s">
        <v>34</v>
      </c>
      <c r="E16" s="8" t="s">
        <v>35</v>
      </c>
      <c r="F16" s="8" t="s">
        <v>73</v>
      </c>
      <c r="G16" s="8" t="s">
        <v>21</v>
      </c>
      <c r="H16" s="9" t="s">
        <v>22</v>
      </c>
      <c r="I16" s="8">
        <v>60</v>
      </c>
      <c r="J16" s="10" t="s">
        <v>23</v>
      </c>
      <c r="K16" s="11"/>
      <c r="L16" s="11"/>
      <c r="M16" s="11" t="s">
        <v>24</v>
      </c>
      <c r="N16" s="12"/>
      <c r="O16" s="11"/>
    </row>
    <row r="17" spans="1:15" ht="15.95" customHeight="1" x14ac:dyDescent="0.25">
      <c r="A17" s="13" t="s">
        <v>74</v>
      </c>
      <c r="B17" s="13" t="s">
        <v>16</v>
      </c>
      <c r="C17" s="13" t="s">
        <v>72</v>
      </c>
      <c r="D17" s="13" t="s">
        <v>34</v>
      </c>
      <c r="E17" s="13" t="s">
        <v>27</v>
      </c>
      <c r="F17" s="13" t="s">
        <v>75</v>
      </c>
      <c r="G17" s="13" t="s">
        <v>21</v>
      </c>
      <c r="H17" s="9" t="s">
        <v>22</v>
      </c>
      <c r="I17" s="13">
        <v>60</v>
      </c>
      <c r="J17" s="14" t="s">
        <v>23</v>
      </c>
      <c r="K17" s="15"/>
      <c r="L17" s="15"/>
      <c r="M17" s="15" t="s">
        <v>24</v>
      </c>
      <c r="N17" s="16"/>
      <c r="O17" s="15"/>
    </row>
    <row r="18" spans="1:15" ht="15.95" customHeight="1" x14ac:dyDescent="0.25">
      <c r="A18" s="8" t="s">
        <v>76</v>
      </c>
      <c r="B18" s="8" t="s">
        <v>16</v>
      </c>
      <c r="C18" s="8" t="s">
        <v>72</v>
      </c>
      <c r="D18" s="8" t="s">
        <v>34</v>
      </c>
      <c r="E18" s="8" t="s">
        <v>77</v>
      </c>
      <c r="F18" s="8" t="s">
        <v>78</v>
      </c>
      <c r="G18" s="8" t="s">
        <v>21</v>
      </c>
      <c r="H18" s="9" t="s">
        <v>22</v>
      </c>
      <c r="I18" s="8">
        <v>60</v>
      </c>
      <c r="J18" s="10" t="s">
        <v>23</v>
      </c>
      <c r="K18" s="11"/>
      <c r="L18" s="11"/>
      <c r="M18" s="11" t="s">
        <v>24</v>
      </c>
      <c r="N18" s="12"/>
      <c r="O18" s="11"/>
    </row>
    <row r="19" spans="1:15" ht="15.95" customHeight="1" x14ac:dyDescent="0.25">
      <c r="A19" s="13" t="s">
        <v>79</v>
      </c>
      <c r="B19" s="13" t="s">
        <v>16</v>
      </c>
      <c r="C19" s="13" t="s">
        <v>80</v>
      </c>
      <c r="D19" s="13" t="s">
        <v>81</v>
      </c>
      <c r="E19" s="13" t="s">
        <v>31</v>
      </c>
      <c r="F19" s="13" t="s">
        <v>82</v>
      </c>
      <c r="G19" s="13" t="s">
        <v>21</v>
      </c>
      <c r="H19" s="9" t="s">
        <v>22</v>
      </c>
      <c r="I19" s="13">
        <v>60</v>
      </c>
      <c r="J19" s="14" t="s">
        <v>23</v>
      </c>
      <c r="K19" s="15" t="s">
        <v>112</v>
      </c>
      <c r="L19" s="15"/>
      <c r="M19" s="15" t="s">
        <v>24</v>
      </c>
      <c r="N19" s="16" t="s">
        <v>122</v>
      </c>
      <c r="O19" s="15" t="s">
        <v>123</v>
      </c>
    </row>
    <row r="20" spans="1:15" ht="15.95" customHeight="1" x14ac:dyDescent="0.25">
      <c r="A20" s="8" t="s">
        <v>83</v>
      </c>
      <c r="B20" s="8" t="s">
        <v>16</v>
      </c>
      <c r="C20" s="8" t="s">
        <v>84</v>
      </c>
      <c r="D20" s="8" t="s">
        <v>85</v>
      </c>
      <c r="E20" s="8" t="s">
        <v>46</v>
      </c>
      <c r="F20" s="8" t="s">
        <v>86</v>
      </c>
      <c r="G20" s="8" t="s">
        <v>21</v>
      </c>
      <c r="H20" s="9" t="s">
        <v>22</v>
      </c>
      <c r="I20" s="8">
        <v>55</v>
      </c>
      <c r="J20" s="10" t="s">
        <v>23</v>
      </c>
      <c r="K20" s="11"/>
      <c r="L20" s="11"/>
      <c r="M20" s="11" t="s">
        <v>24</v>
      </c>
      <c r="N20" s="12"/>
      <c r="O20" s="11"/>
    </row>
    <row r="21" spans="1:15" ht="15.95" customHeight="1" x14ac:dyDescent="0.25">
      <c r="A21" s="13" t="s">
        <v>87</v>
      </c>
      <c r="B21" s="13" t="s">
        <v>16</v>
      </c>
      <c r="C21" s="13" t="s">
        <v>88</v>
      </c>
      <c r="D21" s="13" t="s">
        <v>89</v>
      </c>
      <c r="E21" s="13" t="s">
        <v>90</v>
      </c>
      <c r="F21" s="13" t="s">
        <v>91</v>
      </c>
      <c r="G21" s="13" t="s">
        <v>21</v>
      </c>
      <c r="H21" s="9" t="s">
        <v>22</v>
      </c>
      <c r="I21" s="13">
        <v>55</v>
      </c>
      <c r="J21" s="14" t="s">
        <v>23</v>
      </c>
      <c r="K21" s="15"/>
      <c r="L21" s="15"/>
      <c r="M21" s="15" t="s">
        <v>24</v>
      </c>
      <c r="N21" s="16"/>
      <c r="O21" s="15"/>
    </row>
  </sheetData>
  <dataValidations count="3">
    <dataValidation type="list" sqref="K2:K5000" xr:uid="{00000000-0002-0000-0000-000000000000}">
      <formula1>"Yes,No"</formula1>
    </dataValidation>
    <dataValidation type="list" sqref="M2:M5000" xr:uid="{00000000-0002-0000-0000-000001000000}">
      <formula1>"Pending,Interview Invited,2nd Interview,Offer Received,Rejected,Withdrawn"</formula1>
    </dataValidation>
    <dataValidation type="list" sqref="N2:N5000" xr:uid="{00000000-0002-0000-0000-000002000000}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9" r:id="rId8" xr:uid="{00000000-0004-0000-0000-000007000000}"/>
    <hyperlink ref="J10" r:id="rId9" xr:uid="{00000000-0004-0000-0000-000008000000}"/>
    <hyperlink ref="J11" r:id="rId10" xr:uid="{00000000-0004-0000-0000-000009000000}"/>
    <hyperlink ref="J12" r:id="rId11" xr:uid="{00000000-0004-0000-0000-00000A000000}"/>
    <hyperlink ref="J13" r:id="rId12" xr:uid="{00000000-0004-0000-0000-00000B000000}"/>
    <hyperlink ref="J14" r:id="rId13" xr:uid="{00000000-0004-0000-0000-00000C000000}"/>
    <hyperlink ref="J15" r:id="rId14" xr:uid="{00000000-0004-0000-0000-00000D000000}"/>
    <hyperlink ref="J16" r:id="rId15" xr:uid="{00000000-0004-0000-0000-00000E000000}"/>
    <hyperlink ref="J17" r:id="rId16" xr:uid="{00000000-0004-0000-0000-00000F000000}"/>
    <hyperlink ref="J18" r:id="rId17" xr:uid="{00000000-0004-0000-0000-000010000000}"/>
    <hyperlink ref="J19" r:id="rId18" xr:uid="{00000000-0004-0000-0000-000011000000}"/>
    <hyperlink ref="J20" r:id="rId19" xr:uid="{00000000-0004-0000-0000-000012000000}"/>
    <hyperlink ref="J21" r:id="rId20" xr:uid="{00000000-0004-0000-0000-00001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/>
  </sheetViews>
  <sheetFormatPr defaultRowHeight="15" x14ac:dyDescent="0.25"/>
  <cols>
    <col min="1" max="1" width="30" customWidth="1"/>
    <col min="2" max="2" width="16" customWidth="1"/>
  </cols>
  <sheetData>
    <row r="1" spans="1:2" ht="16.5" x14ac:dyDescent="0.25">
      <c r="A1" s="17" t="s">
        <v>92</v>
      </c>
      <c r="B1" s="18"/>
    </row>
    <row r="3" spans="1:2" x14ac:dyDescent="0.25">
      <c r="A3" s="4" t="s">
        <v>93</v>
      </c>
      <c r="B3" s="5">
        <f>COUNTA('Job Applications'!B2:B5000)</f>
        <v>20</v>
      </c>
    </row>
    <row r="4" spans="1:2" x14ac:dyDescent="0.25">
      <c r="A4" s="4" t="s">
        <v>94</v>
      </c>
      <c r="B4" s="5">
        <f>COUNTIF('Job Applications'!K2:K5000,"Yes")</f>
        <v>1</v>
      </c>
    </row>
    <row r="5" spans="1:2" x14ac:dyDescent="0.25">
      <c r="A5" s="4" t="s">
        <v>95</v>
      </c>
      <c r="B5" s="5">
        <f>COUNTIF('Job Applications'!K2:K5000,"No")</f>
        <v>9</v>
      </c>
    </row>
    <row r="6" spans="1:2" x14ac:dyDescent="0.25">
      <c r="A6" s="4" t="s">
        <v>96</v>
      </c>
      <c r="B6" s="5">
        <f>COUNTIF('Job Applications'!M2:M5000,"Pending")</f>
        <v>19</v>
      </c>
    </row>
    <row r="7" spans="1:2" x14ac:dyDescent="0.25">
      <c r="A7" s="4" t="s">
        <v>97</v>
      </c>
      <c r="B7" s="5">
        <f>COUNTIF('Job Applications'!M2:M5000,"Interview Invited")</f>
        <v>0</v>
      </c>
    </row>
    <row r="8" spans="1:2" x14ac:dyDescent="0.25">
      <c r="A8" s="4" t="s">
        <v>98</v>
      </c>
      <c r="B8" s="5">
        <f>COUNTIF('Job Applications'!M2:M5000,"2nd Interview")</f>
        <v>0</v>
      </c>
    </row>
    <row r="9" spans="1:2" x14ac:dyDescent="0.25">
      <c r="A9" s="4" t="s">
        <v>99</v>
      </c>
      <c r="B9" s="5">
        <f>COUNTIF('Job Applications'!M2:M5000,"Offer Received")</f>
        <v>0</v>
      </c>
    </row>
    <row r="10" spans="1:2" x14ac:dyDescent="0.25">
      <c r="A10" s="4" t="s">
        <v>100</v>
      </c>
      <c r="B10" s="5">
        <f>COUNTIF('Job Applications'!M2:M5000,"Rejected")</f>
        <v>1</v>
      </c>
    </row>
    <row r="11" spans="1:2" x14ac:dyDescent="0.25">
      <c r="A11" s="4" t="s">
        <v>101</v>
      </c>
      <c r="B11" s="5" t="str">
        <f>IFERROR(TEXT(B3/B2,"0%"),"-")</f>
        <v>-</v>
      </c>
    </row>
    <row r="12" spans="1:2" x14ac:dyDescent="0.25">
      <c r="A12" s="4" t="s">
        <v>102</v>
      </c>
      <c r="B12" s="5" t="str">
        <f>IFERROR(TEXT(B6/B3,"0%"),"-")</f>
        <v>95%</v>
      </c>
    </row>
    <row r="13" spans="1:2" x14ac:dyDescent="0.25">
      <c r="A13" s="6" t="s">
        <v>103</v>
      </c>
      <c r="B13" s="7"/>
    </row>
    <row r="14" spans="1:2" x14ac:dyDescent="0.25">
      <c r="A14" s="4" t="s">
        <v>104</v>
      </c>
      <c r="B14" s="5">
        <f>COUNTIF('Job Applications'!N2:N5000,"Too junior / entry level")</f>
        <v>0</v>
      </c>
    </row>
    <row r="15" spans="1:2" x14ac:dyDescent="0.25">
      <c r="A15" s="4" t="s">
        <v>105</v>
      </c>
      <c r="B15" s="5">
        <f>COUNTIF('Job Applications'!N2:N5000,"Too senior / overqualified")</f>
        <v>1</v>
      </c>
    </row>
    <row r="16" spans="1:2" x14ac:dyDescent="0.25">
      <c r="A16" s="4" t="s">
        <v>106</v>
      </c>
      <c r="B16" s="5">
        <f>COUNTIF('Job Applications'!N2:N5000,"Wrong sector / not water")</f>
        <v>0</v>
      </c>
    </row>
    <row r="17" spans="1:2" x14ac:dyDescent="0.25">
      <c r="A17" s="4" t="s">
        <v>107</v>
      </c>
      <c r="B17" s="5">
        <f>COUNTIF('Job Applications'!N2:N5000,"Wrong location / too far")</f>
        <v>0</v>
      </c>
    </row>
    <row r="18" spans="1:2" x14ac:dyDescent="0.25">
      <c r="A18" s="4" t="s">
        <v>108</v>
      </c>
      <c r="B18" s="5">
        <f>COUNTIF('Job Applications'!N2:N5000,"Salary too low")</f>
        <v>0</v>
      </c>
    </row>
    <row r="19" spans="1:2" x14ac:dyDescent="0.25">
      <c r="A19" s="4" t="s">
        <v>109</v>
      </c>
      <c r="B19" s="5">
        <f>COUNTIF('Job Applications'!N2:N5000,"Contract / not permanent")</f>
        <v>0</v>
      </c>
    </row>
    <row r="20" spans="1:2" x14ac:dyDescent="0.25">
      <c r="A20" s="4" t="s">
        <v>110</v>
      </c>
      <c r="B20" s="5">
        <f>COUNTIF('Job Applications'!N2:N5000,"Missing required licence/cert")</f>
        <v>1</v>
      </c>
    </row>
    <row r="21" spans="1:2" x14ac:dyDescent="0.25">
      <c r="A21" s="4" t="s">
        <v>111</v>
      </c>
      <c r="B21" s="5">
        <f>COUNTIF('Job Applications'!N2:N5000,"Other")</f>
        <v>3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Job Applications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Ishaan Kumar</cp:lastModifiedBy>
  <dcterms:created xsi:type="dcterms:W3CDTF">2026-02-15T09:46:34Z</dcterms:created>
  <dcterms:modified xsi:type="dcterms:W3CDTF">2026-02-15T15:01:31Z</dcterms:modified>
</cp:coreProperties>
</file>