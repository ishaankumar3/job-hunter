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8130" windowWidth="29040" windowHeight="15720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  <u val="single"/>
    </font>
    <font>
      <name val="Arial"/>
      <i val="1"/>
      <color rgb="FF744210"/>
      <sz val="9"/>
    </font>
    <font>
      <name val="Arial"/>
      <color rgb="001A6FA8"/>
      <sz val="9"/>
      <u val="single"/>
    </font>
    <font>
      <name val="Arial"/>
      <i val="1"/>
      <color rgb="00744210"/>
      <sz val="9"/>
    </font>
  </fonts>
  <fills count="20">
    <fill>
      <patternFill/>
    </fill>
    <fill>
      <patternFill patternType="gray125"/>
    </fill>
    <fill>
      <patternFill patternType="solid">
        <fgColor rgb="FF1A3A5C"/>
      </patternFill>
    </fill>
    <fill>
      <patternFill patternType="solid">
        <fgColor rgb="FF1A6FA8"/>
      </patternFill>
    </fill>
    <fill>
      <patternFill patternType="solid">
        <fgColor rgb="FF744210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left" vertical="center"/>
    </xf>
    <xf numFmtId="0" fontId="6" fillId="6" borderId="3" applyAlignment="1" pivotButton="0" quotePrefix="0" xfId="0">
      <alignment horizontal="left" vertical="center"/>
    </xf>
    <xf numFmtId="0" fontId="5" fillId="8" borderId="3" applyAlignment="1" pivotButton="0" quotePrefix="0" xfId="0">
      <alignment horizontal="left" vertical="center"/>
    </xf>
    <xf numFmtId="0" fontId="7" fillId="9" borderId="3" applyAlignment="1" pivotButton="0" quotePrefix="0" xfId="0">
      <alignment horizontal="left" vertical="center"/>
    </xf>
    <xf numFmtId="0" fontId="5" fillId="10" borderId="3" applyAlignment="1" pivotButton="0" quotePrefix="0" xfId="0">
      <alignment horizontal="left" vertical="center"/>
    </xf>
    <xf numFmtId="0" fontId="6" fillId="10" borderId="3" applyAlignment="1" pivotButton="0" quotePrefix="0" xfId="0">
      <alignment horizontal="left" vertical="center"/>
    </xf>
    <xf numFmtId="0" fontId="5" fillId="11" borderId="3" applyAlignment="1" pivotButton="0" quotePrefix="0" xfId="0">
      <alignment horizontal="left" vertical="center"/>
    </xf>
    <xf numFmtId="0" fontId="7" fillId="12" borderId="3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14" fontId="5" fillId="11" borderId="3" applyAlignment="1" pivotButton="0" quotePrefix="0" xfId="0">
      <alignment horizontal="left" vertical="center"/>
    </xf>
    <xf numFmtId="0" fontId="5" fillId="13" borderId="4" applyAlignment="1" pivotButton="0" quotePrefix="0" xfId="0">
      <alignment horizontal="left" vertical="center"/>
    </xf>
    <xf numFmtId="0" fontId="5" fillId="14" borderId="4" applyAlignment="1" pivotButton="0" quotePrefix="0" xfId="0">
      <alignment horizontal="left" vertical="center"/>
    </xf>
    <xf numFmtId="0" fontId="8" fillId="13" borderId="4" applyAlignment="1" pivotButton="0" quotePrefix="0" xfId="0">
      <alignment horizontal="left" vertical="center"/>
    </xf>
    <xf numFmtId="0" fontId="5" fillId="15" borderId="4" applyAlignment="1" pivotButton="0" quotePrefix="0" xfId="0">
      <alignment horizontal="left" vertical="center"/>
    </xf>
    <xf numFmtId="0" fontId="9" fillId="16" borderId="4" applyAlignment="1" pivotButton="0" quotePrefix="0" xfId="0">
      <alignment horizontal="left" vertical="center"/>
    </xf>
    <xf numFmtId="0" fontId="5" fillId="17" borderId="4" applyAlignment="1" pivotButton="0" quotePrefix="0" xfId="0">
      <alignment horizontal="left" vertical="center"/>
    </xf>
    <xf numFmtId="0" fontId="8" fillId="17" borderId="4" applyAlignment="1" pivotButton="0" quotePrefix="0" xfId="0">
      <alignment horizontal="left" vertical="center"/>
    </xf>
    <xf numFmtId="0" fontId="5" fillId="18" borderId="4" applyAlignment="1" pivotButton="0" quotePrefix="0" xfId="0">
      <alignment horizontal="left" vertical="center"/>
    </xf>
    <xf numFmtId="0" fontId="9" fillId="19" borderId="4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land/ad/5629561012?se=fmxHK1UK8RGOErafwVY7NA&amp;utm_medium=api&amp;utm_source=692fc859&amp;v=F79A8B1B462B7AF0E7E692D11BDDAC9F553CB3EA" TargetMode="External" Id="rId1"/><Relationship Type="http://schemas.openxmlformats.org/officeDocument/2006/relationships/hyperlink" Target="https://www.adzuna.co.uk/jobs/details/5626297667?utm_medium=api&amp;utm_source=692fc859" TargetMode="External" Id="rId2"/><Relationship Type="http://schemas.openxmlformats.org/officeDocument/2006/relationships/hyperlink" Target="https://www.adzuna.co.uk/jobs/land/ad/5626149488?se=fmxHK1UK8RGOErafwVY7NA&amp;utm_medium=api&amp;utm_source=692fc859&amp;v=63466D83EA2F23E3F27982B5BE332058547EB983" TargetMode="External" Id="rId3"/><Relationship Type="http://schemas.openxmlformats.org/officeDocument/2006/relationships/hyperlink" Target="https://www.adzuna.co.uk/jobs/details/5605926935?utm_medium=api&amp;utm_source=692fc859" TargetMode="External" Id="rId4"/><Relationship Type="http://schemas.openxmlformats.org/officeDocument/2006/relationships/hyperlink" Target="https://www.adzuna.co.uk/jobs/details/5605926933?utm_medium=api&amp;utm_source=692fc859" TargetMode="External" Id="rId5"/><Relationship Type="http://schemas.openxmlformats.org/officeDocument/2006/relationships/hyperlink" Target="https://www.adzuna.co.uk/jobs/details/5628154572?utm_medium=api&amp;utm_source=692fc859" TargetMode="External" Id="rId6"/><Relationship Type="http://schemas.openxmlformats.org/officeDocument/2006/relationships/hyperlink" Target="https://www.adzuna.co.uk/jobs/details/5612533322?utm_medium=api&amp;utm_source=692fc859" TargetMode="External" Id="rId7"/><Relationship Type="http://schemas.openxmlformats.org/officeDocument/2006/relationships/hyperlink" Target="https://www.adzuna.co.uk/jobs/land/ad/5468453312?se=ztylKlUK8RGOErafwVY7NA&amp;utm_medium=api&amp;utm_source=692fc859&amp;v=CC5DA681ACAC396A39B0E81EC9DDF6381532F02F" TargetMode="External" Id="rId8"/><Relationship Type="http://schemas.openxmlformats.org/officeDocument/2006/relationships/hyperlink" Target="https://www.adzuna.co.uk/jobs/land/ad/5595589363?se=umMUK1UK8RGQH41Ys9a60Q&amp;utm_medium=api&amp;utm_source=692fc859&amp;v=4A41C88AD6103493163A3AC4EB35F7BF7BC6974F" TargetMode="External" Id="rId9"/><Relationship Type="http://schemas.openxmlformats.org/officeDocument/2006/relationships/hyperlink" Target="https://www.adzuna.co.uk/jobs/land/ad/5578524719?se=fmxHK1UK8RGOErafwVY7NA&amp;utm_medium=api&amp;utm_source=692fc859&amp;v=AE9A923B32A5FA30559220FF479F17A4E8ED4614" TargetMode="External" Id="rId10"/><Relationship Type="http://schemas.openxmlformats.org/officeDocument/2006/relationships/hyperlink" Target="https://www.adzuna.co.uk/jobs/land/ad/5578522778?se=fmxHK1UK8RGOErafwVY7NA&amp;utm_medium=api&amp;utm_source=692fc859&amp;v=2B63AB4E71472079693B0EA98F003129F76268E4" TargetMode="External" Id="rId11"/><Relationship Type="http://schemas.openxmlformats.org/officeDocument/2006/relationships/hyperlink" Target="https://www.adzuna.co.uk/jobs/details/5606871514?utm_medium=api&amp;utm_source=692fc859" TargetMode="External" Id="rId12"/><Relationship Type="http://schemas.openxmlformats.org/officeDocument/2006/relationships/hyperlink" Target="https://www.adzuna.co.uk/jobs/details/5606871512?utm_medium=api&amp;utm_source=692fc859" TargetMode="External" Id="rId13"/><Relationship Type="http://schemas.openxmlformats.org/officeDocument/2006/relationships/hyperlink" Target="https://www.adzuna.co.uk/jobs/details/5606181785?utm_medium=api&amp;utm_source=692fc859" TargetMode="External" Id="rId14"/><Relationship Type="http://schemas.openxmlformats.org/officeDocument/2006/relationships/hyperlink" Target="https://www.adzuna.co.uk/jobs/details/5604386842?utm_medium=api&amp;utm_source=692fc859" TargetMode="External" Id="rId15"/><Relationship Type="http://schemas.openxmlformats.org/officeDocument/2006/relationships/hyperlink" Target="https://www.adzuna.co.uk/jobs/details/5604386841?utm_medium=api&amp;utm_source=692fc859" TargetMode="External" Id="rId16"/><Relationship Type="http://schemas.openxmlformats.org/officeDocument/2006/relationships/hyperlink" Target="https://www.adzuna.co.uk/jobs/details/5604386848?utm_medium=api&amp;utm_source=692fc859" TargetMode="External" Id="rId17"/><Relationship Type="http://schemas.openxmlformats.org/officeDocument/2006/relationships/hyperlink" Target="https://www.adzuna.co.uk/jobs/details/5606116497?utm_medium=api&amp;utm_source=692fc859" TargetMode="External" Id="rId18"/><Relationship Type="http://schemas.openxmlformats.org/officeDocument/2006/relationships/hyperlink" Target="https://www.adzuna.co.uk/jobs/details/5628754871?utm_medium=api&amp;utm_source=692fc859" TargetMode="External" Id="rId19"/><Relationship Type="http://schemas.openxmlformats.org/officeDocument/2006/relationships/hyperlink" Target="https://www.adzuna.co.uk/jobs/land/ad/5627673956?se=ztylKlUK8RGOErafwVY7NA&amp;utm_medium=api&amp;utm_source=692fc859&amp;v=8944E51E36D223DD9CC5C86EC90217E6931F7085" TargetMode="External" Id="rId20"/><Relationship Type="http://schemas.openxmlformats.org/officeDocument/2006/relationships/hyperlink" Target="https://www.adzuna.co.uk/jobs/details/5628174989?utm_medium=api&amp;utm_source=692fc859" TargetMode="External" Id="rId21"/><Relationship Type="http://schemas.openxmlformats.org/officeDocument/2006/relationships/hyperlink" Target="https://www.adzuna.co.uk/jobs/land/ad/5630825253?se=ICG5W38K8RGQH41Ys9a60Q&amp;utm_medium=api&amp;utm_source=692fc859&amp;v=E058B3AAAB97218D4C25AAC1D1C221E0A18E32A8" TargetMode="External" Id="rId22"/><Relationship Type="http://schemas.openxmlformats.org/officeDocument/2006/relationships/hyperlink" Target="https://www.adzuna.co.uk/jobs/details/5629763392?utm_medium=api&amp;utm_source=692fc859" TargetMode="External" Id="rId23"/><Relationship Type="http://schemas.openxmlformats.org/officeDocument/2006/relationships/hyperlink" Target="https://www.adzuna.co.uk/jobs/details/5628179328?utm_medium=api&amp;utm_source=692fc859" TargetMode="External" Id="rId24"/><Relationship Type="http://schemas.openxmlformats.org/officeDocument/2006/relationships/hyperlink" Target="https://www.adzuna.co.uk/jobs/details/5628173244?utm_medium=api&amp;utm_source=692fc859" TargetMode="External" Id="rId25"/><Relationship Type="http://schemas.openxmlformats.org/officeDocument/2006/relationships/hyperlink" Target="https://www.adzuna.co.uk/jobs/land/ad/5623289516?se=ICG5W38K8RGQH41Ys9a60Q&amp;utm_medium=api&amp;utm_source=692fc859&amp;v=98200F0B35303F28F251B98B751C047455FED739" TargetMode="External" Id="rId26"/><Relationship Type="http://schemas.openxmlformats.org/officeDocument/2006/relationships/hyperlink" Target="https://www.adzuna.co.uk/jobs/details/5612525275?utm_medium=api&amp;utm_source=692fc859" TargetMode="External" Id="rId27"/><Relationship Type="http://schemas.openxmlformats.org/officeDocument/2006/relationships/hyperlink" Target="https://www.adzuna.co.uk/jobs/land/ad/5611857772?se=ICG5W38K8RGQH41Ys9a60Q&amp;utm_medium=api&amp;utm_source=692fc859&amp;v=130876FB58DBE4C06CC55F5D45A403BEBDC0F694" TargetMode="External" Id="rId28"/><Relationship Type="http://schemas.openxmlformats.org/officeDocument/2006/relationships/hyperlink" Target="https://www.adzuna.co.uk/jobs/details/5610948783?utm_medium=api&amp;utm_source=692fc859" TargetMode="External" Id="rId29"/><Relationship Type="http://schemas.openxmlformats.org/officeDocument/2006/relationships/hyperlink" Target="https://www.adzuna.co.uk/jobs/land/ad/5610360968?se=ICG5W38K8RGQH41Ys9a60Q&amp;utm_medium=api&amp;utm_source=692fc859&amp;v=6044C924BA29D273411603212A23185D84DB2BC3" TargetMode="External" Id="rId30"/><Relationship Type="http://schemas.openxmlformats.org/officeDocument/2006/relationships/hyperlink" Target="https://www.adzuna.co.uk/jobs/details/5608180253?utm_medium=api&amp;utm_source=692fc859" TargetMode="External" Id="rId31"/><Relationship Type="http://schemas.openxmlformats.org/officeDocument/2006/relationships/hyperlink" Target="https://www.adzuna.co.uk/jobs/land/ad/5608091962?se=ICG5W38K8RGQH41Ys9a60Q&amp;utm_medium=api&amp;utm_source=692fc859&amp;v=FBCBA37B8B4E1F3743F8FE44FAA4986D0567BC6C" TargetMode="External" Id="rId32"/><Relationship Type="http://schemas.openxmlformats.org/officeDocument/2006/relationships/hyperlink" Target="https://www.adzuna.co.uk/jobs/land/ad/5608088971?se=ICG5W38K8RGQH41Ys9a60Q&amp;utm_medium=api&amp;utm_source=692fc859&amp;v=62B68C474DF68902E352B0D967C930F235A5C69E" TargetMode="External" Id="rId33"/><Relationship Type="http://schemas.openxmlformats.org/officeDocument/2006/relationships/hyperlink" Target="https://www.adzuna.co.uk/jobs/land/ad/5468453312?se=nvTcWX8K8RGbzfd7K5QMXQ&amp;utm_medium=api&amp;utm_source=692fc859&amp;v=CC5DA681ACAC396A39B0E81EC9DDF6381532F02F" TargetMode="External" Id="rId34"/><Relationship Type="http://schemas.openxmlformats.org/officeDocument/2006/relationships/hyperlink" Target="https://www.adzuna.co.uk/jobs/land/ad/5595589363?se=zJo_Wn8K8RGbzfd7K5QMXQ&amp;utm_medium=api&amp;utm_source=692fc859&amp;v=4A41C88AD6103493163A3AC4EB35F7BF7BC6974F" TargetMode="External" Id="rId35"/><Relationship Type="http://schemas.openxmlformats.org/officeDocument/2006/relationships/hyperlink" Target="https://www.adzuna.co.uk/jobs/land/ad/5578524719?se=fMRvWn8K8RGbzfd7K5QMXQ&amp;utm_medium=api&amp;utm_source=692fc859&amp;v=AE9A923B32A5FA30559220FF479F17A4E8ED4614" TargetMode="External" Id="rId36"/><Relationship Type="http://schemas.openxmlformats.org/officeDocument/2006/relationships/hyperlink" Target="https://www.adzuna.co.uk/jobs/land/ad/5578522778?se=fMRvWn8K8RGbzfd7K5QMXQ&amp;utm_medium=api&amp;utm_source=692fc859&amp;v=2B63AB4E71472079693B0EA98F003129F76268E4" TargetMode="External" Id="rId37"/><Relationship Type="http://schemas.openxmlformats.org/officeDocument/2006/relationships/hyperlink" Target="https://www.adzuna.co.uk/jobs/land/ad/5630216276?se=ICG5W38K8RGQH41Ys9a60Q&amp;utm_medium=api&amp;utm_source=692fc859&amp;v=E2B0B3223996DA418DB8A2043C6141AAD459DD18" TargetMode="External" Id="rId38"/><Relationship Type="http://schemas.openxmlformats.org/officeDocument/2006/relationships/hyperlink" Target="https://www.adzuna.co.uk/jobs/details/5628174979?utm_medium=api&amp;utm_source=692fc859" TargetMode="External" Id="rId39"/><Relationship Type="http://schemas.openxmlformats.org/officeDocument/2006/relationships/hyperlink" Target="https://www.adzuna.co.uk/jobs/details/5628154447?utm_medium=api&amp;utm_source=692fc859" TargetMode="External" Id="rId40"/><Relationship Type="http://schemas.openxmlformats.org/officeDocument/2006/relationships/hyperlink" Target="https://www.adzuna.co.uk/jobs/details/5625117951?utm_medium=api&amp;utm_source=692fc859" TargetMode="External" Id="rId41"/><Relationship Type="http://schemas.openxmlformats.org/officeDocument/2006/relationships/hyperlink" Target="https://www.adzuna.co.uk/jobs/land/ad/5624541173?se=ICG5W38K8RGQH41Ys9a60Q&amp;utm_medium=api&amp;utm_source=692fc859&amp;v=C0821D1D264CFEEC4F896CCBB9188C4AEBC1A135" TargetMode="External" Id="rId42"/><Relationship Type="http://schemas.openxmlformats.org/officeDocument/2006/relationships/hyperlink" Target="https://www.adzuna.co.uk/jobs/details/5623364427?utm_medium=api&amp;utm_source=692fc859" TargetMode="External" Id="rId43"/><Relationship Type="http://schemas.openxmlformats.org/officeDocument/2006/relationships/hyperlink" Target="https://www.adzuna.co.uk/jobs/land/ad/5616276965?se=ICG5W38K8RGQH41Ys9a60Q&amp;utm_medium=api&amp;utm_source=692fc859&amp;v=4E86DEA483ABEF59DA211FFB38EF1CBD155B0D24" TargetMode="External" Id="rId44"/><Relationship Type="http://schemas.openxmlformats.org/officeDocument/2006/relationships/hyperlink" Target="https://www.adzuna.co.uk/jobs/land/ad/5627673956?se=nvTcWX8K8RGbzfd7K5QMXQ&amp;utm_medium=api&amp;utm_source=692fc859&amp;v=8944E51E36D223DD9CC5C86EC90217E6931F7085" TargetMode="External" Id="rId45"/><Relationship Type="http://schemas.openxmlformats.org/officeDocument/2006/relationships/hyperlink" Target="https://www.adzuna.co.uk/jobs/details/5605400521?utm_medium=api&amp;utm_source=692fc859" TargetMode="External" Id="rId46"/><Relationship Type="http://schemas.openxmlformats.org/officeDocument/2006/relationships/hyperlink" Target="https://www.adzuna.co.uk/jobs/details/5605400525?utm_medium=api&amp;utm_source=692fc859" TargetMode="External" Id="rId47"/><Relationship Type="http://schemas.openxmlformats.org/officeDocument/2006/relationships/hyperlink" Target="https://www.adzuna.co.uk/jobs/details/5605400523?utm_medium=api&amp;utm_source=692fc859" TargetMode="External" Id="rId48"/><Relationship Type="http://schemas.openxmlformats.org/officeDocument/2006/relationships/hyperlink" Target="https://www.adzuna.co.uk/jobs/details/5604025231?utm_medium=api&amp;utm_source=692fc859" TargetMode="External" Id="rId49"/><Relationship Type="http://schemas.openxmlformats.org/officeDocument/2006/relationships/hyperlink" Target="https://www.adzuna.co.uk/jobs/details/5604025262?utm_medium=api&amp;utm_source=692fc859" TargetMode="External" Id="rId50"/><Relationship Type="http://schemas.openxmlformats.org/officeDocument/2006/relationships/hyperlink" Target="https://www.adzuna.co.uk/jobs/details/5572619977?utm_medium=api&amp;utm_source=692fc859" TargetMode="External" Id="rId51"/><Relationship Type="http://schemas.openxmlformats.org/officeDocument/2006/relationships/hyperlink" Target="https://www.adzuna.co.uk/jobs/details/5510353844?utm_medium=api&amp;utm_source=692fc859" TargetMode="External" Id="rId52"/><Relationship Type="http://schemas.openxmlformats.org/officeDocument/2006/relationships/hyperlink" Target="https://www.adzuna.co.uk/jobs/details/5617346590?utm_medium=api&amp;utm_source=692fc859" TargetMode="External" Id="rId53"/><Relationship Type="http://schemas.openxmlformats.org/officeDocument/2006/relationships/hyperlink" Target="https://www.adzuna.co.uk/jobs/land/ad/5615410978?se=6PyNW38K8RGOErafwVY7NA&amp;utm_medium=api&amp;utm_source=692fc859&amp;v=9505998CE5970D1117B9EFD76B238DCD71061A83" TargetMode="External" Id="rId54"/><Relationship Type="http://schemas.openxmlformats.org/officeDocument/2006/relationships/hyperlink" Target="https://www.adzuna.co.uk/jobs/land/ad/5627673956?se=ICG5W38K8RGQH41Ys9a60Q&amp;utm_medium=api&amp;utm_source=692fc859&amp;v=8944E51E36D223DD9CC5C86EC90217E6931F7085" TargetMode="External" Id="rId55"/><Relationship Type="http://schemas.openxmlformats.org/officeDocument/2006/relationships/hyperlink" Target="https://www.adzuna.co.uk/jobs/land/ad/5618834385?se=ICG5W38K8RGQH41Ys9a60Q&amp;utm_medium=api&amp;utm_source=692fc859&amp;v=A637DAA816CE299E6E02E7637E03DC1AF53ED3F4" TargetMode="External" Id="rId56"/><Relationship Type="http://schemas.openxmlformats.org/officeDocument/2006/relationships/hyperlink" Target="https://www.adzuna.co.uk/jobs/details/5612530003?utm_medium=api&amp;utm_source=692fc859" TargetMode="External" Id="rId57"/><Relationship Type="http://schemas.openxmlformats.org/officeDocument/2006/relationships/hyperlink" Target="https://www.adzuna.co.uk/jobs/details/5612422731?utm_medium=api&amp;utm_source=692fc859" TargetMode="External" Id="rId58"/><Relationship Type="http://schemas.openxmlformats.org/officeDocument/2006/relationships/hyperlink" Target="https://www.adzuna.co.uk/jobs/details/5628754738?utm_medium=api&amp;utm_source=692fc859" TargetMode="External" Id="rId59"/><Relationship Type="http://schemas.openxmlformats.org/officeDocument/2006/relationships/hyperlink" Target="https://www.adzuna.co.uk/jobs/details/5628169321?utm_medium=api&amp;utm_source=692fc859" TargetMode="External" Id="rId60"/><Relationship Type="http://schemas.openxmlformats.org/officeDocument/2006/relationships/hyperlink" Target="https://www.adzuna.co.uk/jobs/land/ad/5606113599?se=nvTcWX8K8RGbzfd7K5QMXQ&amp;utm_medium=api&amp;utm_source=692fc859&amp;v=A39E231977877CB4937B4F4986DAE4F154F74473" TargetMode="External" Id="rId61"/><Relationship Type="http://schemas.openxmlformats.org/officeDocument/2006/relationships/hyperlink" Target="https://www.adzuna.co.uk/jobs/details/5629611989?utm_medium=api&amp;utm_source=692fc859" TargetMode="External" Id="rId62"/><Relationship Type="http://schemas.openxmlformats.org/officeDocument/2006/relationships/hyperlink" Target="https://www.adzuna.co.uk/jobs/land/ad/5614734735?se=tN-eWn8K8RGOErafwVY7NA&amp;utm_medium=api&amp;utm_source=692fc859&amp;v=51E648C18AFA7E4DD0043D447E30701B7268A753" TargetMode="External" Id="rId63"/><Relationship Type="http://schemas.openxmlformats.org/officeDocument/2006/relationships/hyperlink" Target="https://www.adzuna.co.uk/jobs/land/ad/5614429974?se=tN-eWn8K8RGOErafwVY7NA&amp;utm_medium=api&amp;utm_source=692fc859&amp;v=E26139B772A201AA49B27089436520E6D59375F3" TargetMode="External" Id="rId64"/><Relationship Type="http://schemas.openxmlformats.org/officeDocument/2006/relationships/hyperlink" Target="https://www.adzuna.co.uk/jobs/land/ad/5599986097?se=tN-eWn8K8RGOErafwVY7NA&amp;utm_medium=api&amp;utm_source=692fc859&amp;v=88E8789E530801E70113A2C80385AF9F970A5C04" TargetMode="External" Id="rId65"/><Relationship Type="http://schemas.openxmlformats.org/officeDocument/2006/relationships/hyperlink" Target="https://www.adzuna.co.uk/jobs/land/ad/5597196250?se=tN-eWn8K8RGOErafwVY7NA&amp;utm_medium=api&amp;utm_source=692fc859&amp;v=39345909594DA981270C25E79B40220B5F761EB1" TargetMode="External" Id="rId66"/><Relationship Type="http://schemas.openxmlformats.org/officeDocument/2006/relationships/hyperlink" Target="https://www.adzuna.co.uk/jobs/land/ad/5630825253?se=4rQ7G4gK8RGQH41Ys9a60Q&amp;utm_medium=api&amp;utm_source=692fc859&amp;v=E058B3AAAB97218D4C25AAC1D1C221E0A18E32A8" TargetMode="External" Id="rId67"/><Relationship Type="http://schemas.openxmlformats.org/officeDocument/2006/relationships/hyperlink" Target="https://www.adzuna.co.uk/jobs/land/ad/5623289516?se=4rQ7G4gK8RGQH41Ys9a60Q&amp;utm_medium=api&amp;utm_source=692fc859&amp;v=98200F0B35303F28F251B98B751C047455FED739" TargetMode="External" Id="rId68"/><Relationship Type="http://schemas.openxmlformats.org/officeDocument/2006/relationships/hyperlink" Target="https://www.adzuna.co.uk/jobs/land/ad/5611857772?se=4rQ7G4gK8RGQH41Ys9a60Q&amp;utm_medium=api&amp;utm_source=692fc859&amp;v=130876FB58DBE4C06CC55F5D45A403BEBDC0F694" TargetMode="External" Id="rId69"/><Relationship Type="http://schemas.openxmlformats.org/officeDocument/2006/relationships/hyperlink" Target="https://www.adzuna.co.uk/jobs/land/ad/5610360968?se=4rQ7G4gK8RGQH41Ys9a60Q&amp;utm_medium=api&amp;utm_source=692fc859&amp;v=6044C924BA29D273411603212A23185D84DB2BC3" TargetMode="External" Id="rId70"/><Relationship Type="http://schemas.openxmlformats.org/officeDocument/2006/relationships/hyperlink" Target="https://www.adzuna.co.uk/jobs/land/ad/5608091962?se=4rQ7G4gK8RGQH41Ys9a60Q&amp;utm_medium=api&amp;utm_source=692fc859&amp;v=FBCBA37B8B4E1F3743F8FE44FAA4986D0567BC6C" TargetMode="External" Id="rId71"/><Relationship Type="http://schemas.openxmlformats.org/officeDocument/2006/relationships/hyperlink" Target="https://www.adzuna.co.uk/jobs/land/ad/5608088971?se=4rQ7G4gK8RGQH41Ys9a60Q&amp;utm_medium=api&amp;utm_source=692fc859&amp;v=62B68C474DF68902E352B0D967C930F235A5C69E" TargetMode="External" Id="rId72"/><Relationship Type="http://schemas.openxmlformats.org/officeDocument/2006/relationships/hyperlink" Target="https://www.adzuna.co.uk/jobs/land/ad/5468453312?se=XmEuGYgK8RGbzfd7K5QMXQ&amp;utm_medium=api&amp;utm_source=692fc859&amp;v=CC5DA681ACAC396A39B0E81EC9DDF6381532F02F" TargetMode="External" Id="rId73"/><Relationship Type="http://schemas.openxmlformats.org/officeDocument/2006/relationships/hyperlink" Target="https://www.adzuna.co.uk/jobs/land/ad/5595589363?se=5pmQGYgK8RGOErafwVY7NA&amp;utm_medium=api&amp;utm_source=692fc859&amp;v=4A41C88AD6103493163A3AC4EB35F7BF7BC6974F" TargetMode="External" Id="rId74"/><Relationship Type="http://schemas.openxmlformats.org/officeDocument/2006/relationships/hyperlink" Target="https://www.adzuna.co.uk/jobs/land/ad/5578524719?se=xjjGGYgK8RGOErafwVY7NA&amp;utm_medium=api&amp;utm_source=692fc859&amp;v=AE9A923B32A5FA30559220FF479F17A4E8ED4614" TargetMode="External" Id="rId75"/><Relationship Type="http://schemas.openxmlformats.org/officeDocument/2006/relationships/hyperlink" Target="https://www.adzuna.co.uk/jobs/land/ad/5578522778?se=xjjGGYgK8RGOErafwVY7NA&amp;utm_medium=api&amp;utm_source=692fc859&amp;v=2B63AB4E71472079693B0EA98F003129F76268E4" TargetMode="External" Id="rId76"/><Relationship Type="http://schemas.openxmlformats.org/officeDocument/2006/relationships/hyperlink" Target="https://www.adzuna.co.uk/jobs/land/ad/5630216276?se=4rQ7G4gK8RGQH41Ys9a60Q&amp;utm_medium=api&amp;utm_source=692fc859&amp;v=E2B0B3223996DA418DB8A2043C6141AAD459DD18" TargetMode="External" Id="rId77"/><Relationship Type="http://schemas.openxmlformats.org/officeDocument/2006/relationships/hyperlink" Target="https://www.adzuna.co.uk/jobs/land/ad/5624541173?se=4rQ7G4gK8RGQH41Ys9a60Q&amp;utm_medium=api&amp;utm_source=692fc859&amp;v=C0821D1D264CFEEC4F896CCBB9188C4AEBC1A135" TargetMode="External" Id="rId78"/><Relationship Type="http://schemas.openxmlformats.org/officeDocument/2006/relationships/hyperlink" Target="https://www.adzuna.co.uk/jobs/land/ad/5616276965?se=4rQ7G4gK8RGQH41Ys9a60Q&amp;utm_medium=api&amp;utm_source=692fc859&amp;v=4E86DEA483ABEF59DA211FFB38EF1CBD155B0D24" TargetMode="External" Id="rId79"/><Relationship Type="http://schemas.openxmlformats.org/officeDocument/2006/relationships/hyperlink" Target="https://www.adzuna.co.uk/jobs/land/ad/5627673956?se=XmEuGYgK8RGbzfd7K5QMXQ&amp;utm_medium=api&amp;utm_source=692fc859&amp;v=8944E51E36D223DD9CC5C86EC90217E6931F7085" TargetMode="External" Id="rId80"/><Relationship Type="http://schemas.openxmlformats.org/officeDocument/2006/relationships/hyperlink" Target="https://www.adzuna.co.uk/jobs/land/ad/5615410978?se=mM79GogK8RGbzfd7K5QMXQ&amp;utm_medium=api&amp;utm_source=692fc859&amp;v=9505998CE5970D1117B9EFD76B238DCD71061A83" TargetMode="External" Id="rId81"/><Relationship Type="http://schemas.openxmlformats.org/officeDocument/2006/relationships/hyperlink" Target="https://www.adzuna.co.uk/jobs/land/ad/5627673956?se=4rQ7G4gK8RGQH41Ys9a60Q&amp;utm_medium=api&amp;utm_source=692fc859&amp;v=8944E51E36D223DD9CC5C86EC90217E6931F7085" TargetMode="External" Id="rId82"/><Relationship Type="http://schemas.openxmlformats.org/officeDocument/2006/relationships/hyperlink" Target="https://www.adzuna.co.uk/jobs/land/ad/5618834385?se=4rQ7G4gK8RGQH41Ys9a60Q&amp;utm_medium=api&amp;utm_source=692fc859&amp;v=A637DAA816CE299E6E02E7637E03DC1AF53ED3F4" TargetMode="External" Id="rId83"/><Relationship Type="http://schemas.openxmlformats.org/officeDocument/2006/relationships/hyperlink" Target="https://www.adzuna.co.uk/jobs/land/ad/5606113599?se=XmEuGYgK8RGbzfd7K5QMXQ&amp;utm_medium=api&amp;utm_source=692fc859&amp;v=A39E231977877CB4937B4F4986DAE4F154F74473" TargetMode="External" Id="rId84"/><Relationship Type="http://schemas.openxmlformats.org/officeDocument/2006/relationships/hyperlink" Target="https://www.adzuna.co.uk/jobs/land/ad/5614734735?se=eO75GYgK8RGOErafwVY7NA&amp;utm_medium=api&amp;utm_source=692fc859&amp;v=51E648C18AFA7E4DD0043D447E30701B7268A753" TargetMode="External" Id="rId85"/><Relationship Type="http://schemas.openxmlformats.org/officeDocument/2006/relationships/hyperlink" Target="https://www.adzuna.co.uk/jobs/land/ad/5614429974?se=eO75GYgK8RGOErafwVY7NA&amp;utm_medium=api&amp;utm_source=692fc859&amp;v=E26139B772A201AA49B27089436520E6D59375F3" TargetMode="External" Id="rId86"/><Relationship Type="http://schemas.openxmlformats.org/officeDocument/2006/relationships/hyperlink" Target="https://www.adzuna.co.uk/jobs/land/ad/5599986097?se=eO75GYgK8RGOErafwVY7NA&amp;utm_medium=api&amp;utm_source=692fc859&amp;v=88E8789E530801E70113A2C80385AF9F970A5C04" TargetMode="External" Id="rId87"/><Relationship Type="http://schemas.openxmlformats.org/officeDocument/2006/relationships/hyperlink" Target="https://www.adzuna.co.uk/jobs/land/ad/5597196250?se=eO75GYgK8RGOErafwVY7NA&amp;utm_medium=api&amp;utm_source=692fc859&amp;v=39345909594DA981270C25E79B40220B5F761EB1" TargetMode="External" Id="rId88"/><Relationship Type="http://schemas.openxmlformats.org/officeDocument/2006/relationships/hyperlink" Target="https://www.adzuna.co.uk/jobs/land/ad/5630825253?se=nEy1TgsL8RGbzfd7K5QMXQ&amp;utm_medium=api&amp;utm_source=692fc859&amp;v=E058B3AAAB97218D4C25AAC1D1C221E0A18E32A8" TargetMode="External" Id="rId89"/><Relationship Type="http://schemas.openxmlformats.org/officeDocument/2006/relationships/hyperlink" Target="https://www.adzuna.co.uk/jobs/land/ad/5623289516?se=nEy1TgsL8RGbzfd7K5QMXQ&amp;utm_medium=api&amp;utm_source=692fc859&amp;v=98200F0B35303F28F251B98B751C047455FED739" TargetMode="External" Id="rId90"/><Relationship Type="http://schemas.openxmlformats.org/officeDocument/2006/relationships/hyperlink" Target="https://www.adzuna.co.uk/jobs/land/ad/5611857772?se=nEy1TgsL8RGbzfd7K5QMXQ&amp;utm_medium=api&amp;utm_source=692fc859&amp;v=130876FB58DBE4C06CC55F5D45A403BEBDC0F694" TargetMode="External" Id="rId91"/><Relationship Type="http://schemas.openxmlformats.org/officeDocument/2006/relationships/hyperlink" Target="https://www.adzuna.co.uk/jobs/land/ad/5610360968?se=nEy1TgsL8RGbzfd7K5QMXQ&amp;utm_medium=api&amp;utm_source=692fc859&amp;v=6044C924BA29D273411603212A23185D84DB2BC3" TargetMode="External" Id="rId92"/><Relationship Type="http://schemas.openxmlformats.org/officeDocument/2006/relationships/hyperlink" Target="https://www.adzuna.co.uk/jobs/land/ad/5608091962?se=nEy1TgsL8RGbzfd7K5QMXQ&amp;utm_medium=api&amp;utm_source=692fc859&amp;v=FBCBA37B8B4E1F3743F8FE44FAA4986D0567BC6C" TargetMode="External" Id="rId93"/><Relationship Type="http://schemas.openxmlformats.org/officeDocument/2006/relationships/hyperlink" Target="https://www.adzuna.co.uk/jobs/land/ad/5608088971?se=nEy1TgsL8RGbzfd7K5QMXQ&amp;utm_medium=api&amp;utm_source=692fc859&amp;v=62B68C474DF68902E352B0D967C930F235A5C69E" TargetMode="External" Id="rId94"/><Relationship Type="http://schemas.openxmlformats.org/officeDocument/2006/relationships/hyperlink" Target="https://www.adzuna.co.uk/jobs/details/5606291874?utm_medium=api&amp;utm_source=692fc859" TargetMode="External" Id="rId95"/><Relationship Type="http://schemas.openxmlformats.org/officeDocument/2006/relationships/hyperlink" Target="https://www.adzuna.co.uk/jobs/land/ad/5468453312?se=1I7tSwsL8RGOErafwVY7NA&amp;utm_medium=api&amp;utm_source=692fc859&amp;v=CC5DA681ACAC396A39B0E81EC9DDF6381532F02F" TargetMode="External" Id="rId96"/><Relationship Type="http://schemas.openxmlformats.org/officeDocument/2006/relationships/hyperlink" Target="https://www.adzuna.co.uk/jobs/land/ad/5595589363?se=NGp_TAsL8RGOErafwVY7NA&amp;utm_medium=api&amp;utm_source=692fc859&amp;v=4A41C88AD6103493163A3AC4EB35F7BF7BC6974F" TargetMode="External" Id="rId97"/><Relationship Type="http://schemas.openxmlformats.org/officeDocument/2006/relationships/hyperlink" Target="https://www.adzuna.co.uk/jobs/land/ad/5578524719?se=jNjRTAsL8RGOErafwVY7NA&amp;utm_medium=api&amp;utm_source=692fc859&amp;v=AE9A923B32A5FA30559220FF479F17A4E8ED4614" TargetMode="External" Id="rId98"/><Relationship Type="http://schemas.openxmlformats.org/officeDocument/2006/relationships/hyperlink" Target="https://www.adzuna.co.uk/jobs/land/ad/5578522778?se=jNjRTAsL8RGOErafwVY7NA&amp;utm_medium=api&amp;utm_source=692fc859&amp;v=2B63AB4E71472079693B0EA98F003129F76268E4" TargetMode="External" Id="rId99"/><Relationship Type="http://schemas.openxmlformats.org/officeDocument/2006/relationships/hyperlink" Target="https://www.adzuna.co.uk/jobs/land/ad/5630216276?se=nEy1TgsL8RGbzfd7K5QMXQ&amp;utm_medium=api&amp;utm_source=692fc859&amp;v=E2B0B3223996DA418DB8A2043C6141AAD459DD18" TargetMode="External" Id="rId100"/><Relationship Type="http://schemas.openxmlformats.org/officeDocument/2006/relationships/hyperlink" Target="https://www.adzuna.co.uk/jobs/land/ad/5624541173?se=nEy1TgsL8RGbzfd7K5QMXQ&amp;utm_medium=api&amp;utm_source=692fc859&amp;v=C0821D1D264CFEEC4F896CCBB9188C4AEBC1A135" TargetMode="External" Id="rId101"/><Relationship Type="http://schemas.openxmlformats.org/officeDocument/2006/relationships/hyperlink" Target="https://www.adzuna.co.uk/jobs/land/ad/5616276965?se=nEy1TgsL8RGbzfd7K5QMXQ&amp;utm_medium=api&amp;utm_source=692fc859&amp;v=4E86DEA483ABEF59DA211FFB38EF1CBD155B0D24" TargetMode="External" Id="rId102"/><Relationship Type="http://schemas.openxmlformats.org/officeDocument/2006/relationships/hyperlink" Target="https://www.adzuna.co.uk/jobs/land/ad/5604873485?se=nEy1TgsL8RGbzfd7K5QMXQ&amp;utm_medium=api&amp;utm_source=692fc859&amp;v=008D110971E9A68EDDF28324C60900842CC81EC5" TargetMode="External" Id="rId103"/><Relationship Type="http://schemas.openxmlformats.org/officeDocument/2006/relationships/hyperlink" Target="https://www.adzuna.co.uk/jobs/land/ad/5627673956?se=1I7tSwsL8RGOErafwVY7NA&amp;utm_medium=api&amp;utm_source=692fc859&amp;v=8944E51E36D223DD9CC5C86EC90217E6931F7085" TargetMode="External" Id="rId104"/><Relationship Type="http://schemas.openxmlformats.org/officeDocument/2006/relationships/hyperlink" Target="https://www.adzuna.co.uk/jobs/land/ad/5615410978?se=Nr9sTgsL8RGOErafwVY7NA&amp;utm_medium=api&amp;utm_source=692fc859&amp;v=9505998CE5970D1117B9EFD76B238DCD71061A83" TargetMode="External" Id="rId105"/><Relationship Type="http://schemas.openxmlformats.org/officeDocument/2006/relationships/hyperlink" Target="https://www.adzuna.co.uk/jobs/land/ad/5627673956?se=nEy1TgsL8RGbzfd7K5QMXQ&amp;utm_medium=api&amp;utm_source=692fc859&amp;v=8944E51E36D223DD9CC5C86EC90217E6931F7085" TargetMode="External" Id="rId106"/><Relationship Type="http://schemas.openxmlformats.org/officeDocument/2006/relationships/hyperlink" Target="https://www.adzuna.co.uk/jobs/land/ad/5618834385?se=nEy1TgsL8RGbzfd7K5QMXQ&amp;utm_medium=api&amp;utm_source=692fc859&amp;v=A637DAA816CE299E6E02E7637E03DC1AF53ED3F4" TargetMode="External" Id="rId107"/><Relationship Type="http://schemas.openxmlformats.org/officeDocument/2006/relationships/hyperlink" Target="https://www.adzuna.co.uk/jobs/land/ad/5606113599?se=1I7tSwsL8RGOErafwVY7NA&amp;utm_medium=api&amp;utm_source=692fc859&amp;v=A39E231977877CB4937B4F4986DAE4F154F74473" TargetMode="External" Id="rId108"/><Relationship Type="http://schemas.openxmlformats.org/officeDocument/2006/relationships/hyperlink" Target="https://www.adzuna.co.uk/jobs/land/ad/5614734735?se=TtASTQsL8RGQH41Ys9a60Q&amp;utm_medium=api&amp;utm_source=692fc859&amp;v=51E648C18AFA7E4DD0043D447E30701B7268A753" TargetMode="External" Id="rId109"/><Relationship Type="http://schemas.openxmlformats.org/officeDocument/2006/relationships/hyperlink" Target="https://www.adzuna.co.uk/jobs/land/ad/5614429974?se=TtASTQsL8RGQH41Ys9a60Q&amp;utm_medium=api&amp;utm_source=692fc859&amp;v=E26139B772A201AA49B27089436520E6D59375F3" TargetMode="External" Id="rId110"/><Relationship Type="http://schemas.openxmlformats.org/officeDocument/2006/relationships/hyperlink" Target="https://www.adzuna.co.uk/jobs/land/ad/5599986097?se=TtASTQsL8RGQH41Ys9a60Q&amp;utm_medium=api&amp;utm_source=692fc859&amp;v=88E8789E530801E70113A2C80385AF9F970A5C04" TargetMode="External" Id="rId111"/><Relationship Type="http://schemas.openxmlformats.org/officeDocument/2006/relationships/hyperlink" Target="https://www.adzuna.co.uk/jobs/land/ad/5597196250?se=TtASTQsL8RGQH41Ys9a60Q&amp;utm_medium=api&amp;utm_source=692fc859&amp;v=39345909594DA981270C25E79B40220B5F761EB1" TargetMode="External" Id="rId112"/><Relationship Type="http://schemas.openxmlformats.org/officeDocument/2006/relationships/hyperlink" Target="https://www.adzuna.co.uk/jobs/land/ad/5597112474?se=TtASTQsL8RGQH41Ys9a60Q&amp;utm_medium=api&amp;utm_source=692fc859&amp;v=13AA8DCE5A0F57462DFA937CCE5E3B02AA6CF60E" TargetMode="External" Id="rId113"/><Relationship Type="http://schemas.openxmlformats.org/officeDocument/2006/relationships/hyperlink" Target="https://www.adzuna.co.uk/jobs/details/5624075215?utm_medium=api&amp;utm_source=692fc859" TargetMode="External" Id="rId114"/><Relationship Type="http://schemas.openxmlformats.org/officeDocument/2006/relationships/hyperlink" Target="https://www.adzuna.co.uk/jobs/land/ad/5632000662?se=OFugDdQL8RGmeoch9rOc0A&amp;utm_medium=api&amp;utm_source=692fc859&amp;v=8D1D8F0A702386A612994608F2D0E0FB5FDBAA85" TargetMode="External" Id="rId115"/><Relationship Type="http://schemas.openxmlformats.org/officeDocument/2006/relationships/hyperlink" Target="https://www.adzuna.co.uk/jobs/land/ad/5630825253?se=OFugDdQL8RGmeoch9rOc0A&amp;utm_medium=api&amp;utm_source=692fc859&amp;v=E058B3AAAB97218D4C25AAC1D1C221E0A18E32A8" TargetMode="External" Id="rId116"/><Relationship Type="http://schemas.openxmlformats.org/officeDocument/2006/relationships/hyperlink" Target="https://www.adzuna.co.uk/jobs/land/ad/5623289516?se=OFugDdQL8RGmeoch9rOc0A&amp;utm_medium=api&amp;utm_source=692fc859&amp;v=98200F0B35303F28F251B98B751C047455FED739" TargetMode="External" Id="rId117"/><Relationship Type="http://schemas.openxmlformats.org/officeDocument/2006/relationships/hyperlink" Target="https://www.adzuna.co.uk/jobs/land/ad/5611857772?se=OFugDdQL8RGmeoch9rOc0A&amp;utm_medium=api&amp;utm_source=692fc859&amp;v=130876FB58DBE4C06CC55F5D45A403BEBDC0F694" TargetMode="External" Id="rId118"/><Relationship Type="http://schemas.openxmlformats.org/officeDocument/2006/relationships/hyperlink" Target="https://www.adzuna.co.uk/jobs/land/ad/5610360968?se=OFugDdQL8RGmeoch9rOc0A&amp;utm_medium=api&amp;utm_source=692fc859&amp;v=6044C924BA29D273411603212A23185D84DB2BC3" TargetMode="External" Id="rId119"/><Relationship Type="http://schemas.openxmlformats.org/officeDocument/2006/relationships/hyperlink" Target="https://www.adzuna.co.uk/jobs/land/ad/5608091962?se=OFugDdQL8RGmeoch9rOc0A&amp;utm_medium=api&amp;utm_source=692fc859&amp;v=FBCBA37B8B4E1F3743F8FE44FAA4986D0567BC6C" TargetMode="External" Id="rId120"/><Relationship Type="http://schemas.openxmlformats.org/officeDocument/2006/relationships/hyperlink" Target="https://www.adzuna.co.uk/jobs/land/ad/5608088971?se=OFugDdQL8RGmeoch9rOc0A&amp;utm_medium=api&amp;utm_source=692fc859&amp;v=62B68C474DF68902E352B0D967C930F235A5C69E" TargetMode="External" Id="rId121"/><Relationship Type="http://schemas.openxmlformats.org/officeDocument/2006/relationships/hyperlink" Target="https://www.adzuna.co.uk/jobs/land/ad/5468453312?se=OHJAC9QL8RG4uO8fA7CB4w&amp;utm_medium=api&amp;utm_source=692fc859&amp;v=CC5DA681ACAC396A39B0E81EC9DDF6381532F02F" TargetMode="External" Id="rId122"/><Relationship Type="http://schemas.openxmlformats.org/officeDocument/2006/relationships/hyperlink" Target="https://www.adzuna.co.uk/jobs/land/ad/5595589363?se=Nqy3C9QL8RGe_ehZvJV8Bg&amp;utm_medium=api&amp;utm_source=692fc859&amp;v=4A41C88AD6103493163A3AC4EB35F7BF7BC6974F" TargetMode="External" Id="rId123"/><Relationship Type="http://schemas.openxmlformats.org/officeDocument/2006/relationships/hyperlink" Target="https://www.adzuna.co.uk/jobs/land/ad/5578524719?se=6vzuC9QL8RGmeoch9rOc0A&amp;utm_medium=api&amp;utm_source=692fc859&amp;v=AE9A923B32A5FA30559220FF479F17A4E8ED4614" TargetMode="External" Id="rId124"/><Relationship Type="http://schemas.openxmlformats.org/officeDocument/2006/relationships/hyperlink" Target="https://www.adzuna.co.uk/jobs/land/ad/5578522778?se=6vzuC9QL8RGmeoch9rOc0A&amp;utm_medium=api&amp;utm_source=692fc859&amp;v=2B63AB4E71472079693B0EA98F003129F76268E4" TargetMode="External" Id="rId125"/><Relationship Type="http://schemas.openxmlformats.org/officeDocument/2006/relationships/hyperlink" Target="https://www.adzuna.co.uk/jobs/land/ad/5630216276?se=OFugDdQL8RGmeoch9rOc0A&amp;utm_medium=api&amp;utm_source=692fc859&amp;v=E2B0B3223996DA418DB8A2043C6141AAD459DD18" TargetMode="External" Id="rId126"/><Relationship Type="http://schemas.openxmlformats.org/officeDocument/2006/relationships/hyperlink" Target="https://www.adzuna.co.uk/jobs/land/ad/5624541173?se=OFugDdQL8RGmeoch9rOc0A&amp;utm_medium=api&amp;utm_source=692fc859&amp;v=C0821D1D264CFEEC4F896CCBB9188C4AEBC1A135" TargetMode="External" Id="rId127"/><Relationship Type="http://schemas.openxmlformats.org/officeDocument/2006/relationships/hyperlink" Target="https://www.adzuna.co.uk/jobs/land/ad/5616276965?se=OFugDdQL8RGmeoch9rOc0A&amp;utm_medium=api&amp;utm_source=692fc859&amp;v=4E86DEA483ABEF59DA211FFB38EF1CBD155B0D24" TargetMode="External" Id="rId128"/><Relationship Type="http://schemas.openxmlformats.org/officeDocument/2006/relationships/hyperlink" Target="https://www.adzuna.co.uk/jobs/land/ad/5627673956?se=OHJAC9QL8RG4uO8fA7CB4w&amp;utm_medium=api&amp;utm_source=692fc859&amp;v=8944E51E36D223DD9CC5C86EC90217E6931F7085" TargetMode="External" Id="rId129"/><Relationship Type="http://schemas.openxmlformats.org/officeDocument/2006/relationships/hyperlink" Target="https://www.adzuna.co.uk/jobs/land/ad/5615410978?se=Wn9aDdQL8RG4uO8fA7CB4w&amp;utm_medium=api&amp;utm_source=692fc859&amp;v=9505998CE5970D1117B9EFD76B238DCD71061A83" TargetMode="External" Id="rId130"/><Relationship Type="http://schemas.openxmlformats.org/officeDocument/2006/relationships/hyperlink" Target="https://www.adzuna.co.uk/jobs/land/ad/5631754520?se=OFugDdQL8RGmeoch9rOc0A&amp;utm_medium=api&amp;utm_source=692fc859&amp;v=4736AD3801096F74B2DF0DC308BF82EB2A2DBB72" TargetMode="External" Id="rId131"/><Relationship Type="http://schemas.openxmlformats.org/officeDocument/2006/relationships/hyperlink" Target="https://www.adzuna.co.uk/jobs/land/ad/5627673956?se=OFugDdQL8RGmeoch9rOc0A&amp;utm_medium=api&amp;utm_source=692fc859&amp;v=8944E51E36D223DD9CC5C86EC90217E6931F7085" TargetMode="External" Id="rId132"/><Relationship Type="http://schemas.openxmlformats.org/officeDocument/2006/relationships/hyperlink" Target="https://www.adzuna.co.uk/jobs/land/ad/5618834385?se=OFugDdQL8RGmeoch9rOc0A&amp;utm_medium=api&amp;utm_source=692fc859&amp;v=A637DAA816CE299E6E02E7637E03DC1AF53ED3F4" TargetMode="External" Id="rId133"/><Relationship Type="http://schemas.openxmlformats.org/officeDocument/2006/relationships/hyperlink" Target="https://www.adzuna.co.uk/jobs/land/ad/5606113599?se=OHJAC9QL8RG4uO8fA7CB4w&amp;utm_medium=api&amp;utm_source=692fc859&amp;v=A39E231977877CB4937B4F4986DAE4F154F74473" TargetMode="External" Id="rId134"/><Relationship Type="http://schemas.openxmlformats.org/officeDocument/2006/relationships/hyperlink" Target="https://www.adzuna.co.uk/jobs/land/ad/5614734735?se=xvkzDNQL8RGmeoch9rOc0A&amp;utm_medium=api&amp;utm_source=692fc859&amp;v=51E648C18AFA7E4DD0043D447E30701B7268A753" TargetMode="External" Id="rId135"/><Relationship Type="http://schemas.openxmlformats.org/officeDocument/2006/relationships/hyperlink" Target="https://www.adzuna.co.uk/jobs/land/ad/5614429974?se=xvkzDNQL8RGmeoch9rOc0A&amp;utm_medium=api&amp;utm_source=692fc859&amp;v=E26139B772A201AA49B27089436520E6D59375F3" TargetMode="External" Id="rId136"/><Relationship Type="http://schemas.openxmlformats.org/officeDocument/2006/relationships/hyperlink" Target="https://www.adzuna.co.uk/jobs/land/ad/5597196250?se=xvkzDNQL8RGmeoch9rOc0A&amp;utm_medium=api&amp;utm_source=692fc859&amp;v=39345909594DA981270C25E79B40220B5F761EB1" TargetMode="External" Id="rId137"/><Relationship Type="http://schemas.openxmlformats.org/officeDocument/2006/relationships/hyperlink" Target="https://www.adzuna.co.uk/jobs/land/ad/5597180719?se=xvkzDNQL8RGmeoch9rOc0A&amp;utm_medium=api&amp;utm_source=692fc859&amp;v=A53CD42F37F71208F01F004C487D8F78E7B1D959" TargetMode="External" Id="rId138"/><Relationship Type="http://schemas.openxmlformats.org/officeDocument/2006/relationships/hyperlink" Target="https://www.adzuna.co.uk/jobs/land/ad/5632000662?se=4GMYYZ0M8RGj7eqDZ1qJ2w&amp;utm_medium=api&amp;utm_source=692fc859&amp;v=8D1D8F0A702386A612994608F2D0E0FB5FDBAA85" TargetMode="External" Id="rId139"/><Relationship Type="http://schemas.openxmlformats.org/officeDocument/2006/relationships/hyperlink" Target="https://www.adzuna.co.uk/jobs/land/ad/5630825253?se=4GMYYZ0M8RGj7eqDZ1qJ2w&amp;utm_medium=api&amp;utm_source=692fc859&amp;v=E058B3AAAB97218D4C25AAC1D1C221E0A18E32A8" TargetMode="External" Id="rId140"/><Relationship Type="http://schemas.openxmlformats.org/officeDocument/2006/relationships/hyperlink" Target="https://www.adzuna.co.uk/jobs/land/ad/5623289516?se=4GMYYZ0M8RGj7eqDZ1qJ2w&amp;utm_medium=api&amp;utm_source=692fc859&amp;v=98200F0B35303F28F251B98B751C047455FED739" TargetMode="External" Id="rId141"/><Relationship Type="http://schemas.openxmlformats.org/officeDocument/2006/relationships/hyperlink" Target="https://www.adzuna.co.uk/jobs/land/ad/5611857772?se=4GMYYZ0M8RGj7eqDZ1qJ2w&amp;utm_medium=api&amp;utm_source=692fc859&amp;v=130876FB58DBE4C06CC55F5D45A403BEBDC0F694" TargetMode="External" Id="rId142"/><Relationship Type="http://schemas.openxmlformats.org/officeDocument/2006/relationships/hyperlink" Target="https://www.adzuna.co.uk/jobs/land/ad/5610360968?se=4GMYYZ0M8RGj7eqDZ1qJ2w&amp;utm_medium=api&amp;utm_source=692fc859&amp;v=6044C924BA29D273411603212A23185D84DB2BC3" TargetMode="External" Id="rId143"/><Relationship Type="http://schemas.openxmlformats.org/officeDocument/2006/relationships/hyperlink" Target="https://www.adzuna.co.uk/jobs/land/ad/5608091962?se=4GMYYZ0M8RGj7eqDZ1qJ2w&amp;utm_medium=api&amp;utm_source=692fc859&amp;v=FBCBA37B8B4E1F3743F8FE44FAA4986D0567BC6C" TargetMode="External" Id="rId144"/><Relationship Type="http://schemas.openxmlformats.org/officeDocument/2006/relationships/hyperlink" Target="https://www.adzuna.co.uk/jobs/land/ad/5608088971?se=4GMYYZ0M8RGj7eqDZ1qJ2w&amp;utm_medium=api&amp;utm_source=692fc859&amp;v=62B68C474DF68902E352B0D967C930F235A5C69E" TargetMode="External" Id="rId145"/><Relationship Type="http://schemas.openxmlformats.org/officeDocument/2006/relationships/hyperlink" Target="https://www.adzuna.co.uk/jobs/land/ad/5595589363?se=YJvMXp0M8RGj7eqDZ1qJ2w&amp;utm_medium=api&amp;utm_source=692fc859&amp;v=4A41C88AD6103493163A3AC4EB35F7BF7BC6974F" TargetMode="External" Id="rId146"/><Relationship Type="http://schemas.openxmlformats.org/officeDocument/2006/relationships/hyperlink" Target="https://www.adzuna.co.uk/jobs/land/ad/5578524719?se=nvgIX50M8RGj7eqDZ1qJ2w&amp;utm_medium=api&amp;utm_source=692fc859&amp;v=AE9A923B32A5FA30559220FF479F17A4E8ED4614" TargetMode="External" Id="rId147"/><Relationship Type="http://schemas.openxmlformats.org/officeDocument/2006/relationships/hyperlink" Target="https://www.adzuna.co.uk/jobs/land/ad/5578522778?se=nvgIX50M8RGj7eqDZ1qJ2w&amp;utm_medium=api&amp;utm_source=692fc859&amp;v=2B63AB4E71472079693B0EA98F003129F76268E4" TargetMode="External" Id="rId148"/><Relationship Type="http://schemas.openxmlformats.org/officeDocument/2006/relationships/hyperlink" Target="https://www.adzuna.co.uk/jobs/land/ad/5630216276?se=4GMYYZ0M8RGj7eqDZ1qJ2w&amp;utm_medium=api&amp;utm_source=692fc859&amp;v=E2B0B3223996DA418DB8A2043C6141AAD459DD18" TargetMode="External" Id="rId149"/><Relationship Type="http://schemas.openxmlformats.org/officeDocument/2006/relationships/hyperlink" Target="https://www.adzuna.co.uk/jobs/land/ad/5624541173?se=4GMYYZ0M8RGj7eqDZ1qJ2w&amp;utm_medium=api&amp;utm_source=692fc859&amp;v=C0821D1D264CFEEC4F896CCBB9188C4AEBC1A135" TargetMode="External" Id="rId150"/><Relationship Type="http://schemas.openxmlformats.org/officeDocument/2006/relationships/hyperlink" Target="https://www.adzuna.co.uk/jobs/land/ad/5616276965?se=4GMYYZ0M8RGj7eqDZ1qJ2w&amp;utm_medium=api&amp;utm_source=692fc859&amp;v=4E86DEA483ABEF59DA211FFB38EF1CBD155B0D24" TargetMode="External" Id="rId151"/><Relationship Type="http://schemas.openxmlformats.org/officeDocument/2006/relationships/hyperlink" Target="https://www.adzuna.co.uk/jobs/land/ad/5627673956?se=qDlVXp0M8RGj7eqDZ1qJ2w&amp;utm_medium=api&amp;utm_source=692fc859&amp;v=8944E51E36D223DD9CC5C86EC90217E6931F7085" TargetMode="External" Id="rId152"/><Relationship Type="http://schemas.openxmlformats.org/officeDocument/2006/relationships/hyperlink" Target="https://www.adzuna.co.uk/jobs/land/ad/5633741797?se=jKrHX50M8RGK_chh2A7CfA&amp;utm_medium=api&amp;utm_source=692fc859&amp;v=AEC76746FEA9BC83384EEDD92B8428449A9F0B5B" TargetMode="External" Id="rId153"/><Relationship Type="http://schemas.openxmlformats.org/officeDocument/2006/relationships/hyperlink" Target="https://www.adzuna.co.uk/jobs/details/5633705423?utm_medium=api&amp;utm_source=692fc859" TargetMode="External" Id="rId154"/><Relationship Type="http://schemas.openxmlformats.org/officeDocument/2006/relationships/hyperlink" Target="https://www.adzuna.co.uk/jobs/land/ad/5615410978?se=lOLHYJ0M8RGj7eqDZ1qJ2w&amp;utm_medium=api&amp;utm_source=692fc859&amp;v=9505998CE5970D1117B9EFD76B238DCD71061A83" TargetMode="External" Id="rId155"/><Relationship Type="http://schemas.openxmlformats.org/officeDocument/2006/relationships/hyperlink" Target="https://www.adzuna.co.uk/jobs/details/5633632107?utm_medium=api&amp;utm_source=692fc859" TargetMode="External" Id="rId156"/><Relationship Type="http://schemas.openxmlformats.org/officeDocument/2006/relationships/hyperlink" Target="https://www.adzuna.co.uk/jobs/land/ad/5631754520?se=4GMYYZ0M8RGj7eqDZ1qJ2w&amp;utm_medium=api&amp;utm_source=692fc859&amp;v=4736AD3801096F74B2DF0DC308BF82EB2A2DBB72" TargetMode="External" Id="rId157"/><Relationship Type="http://schemas.openxmlformats.org/officeDocument/2006/relationships/hyperlink" Target="https://www.adzuna.co.uk/jobs/land/ad/5627673956?se=4GMYYZ0M8RGj7eqDZ1qJ2w&amp;utm_medium=api&amp;utm_source=692fc859&amp;v=8944E51E36D223DD9CC5C86EC90217E6931F7085" TargetMode="External" Id="rId158"/><Relationship Type="http://schemas.openxmlformats.org/officeDocument/2006/relationships/hyperlink" Target="https://www.adzuna.co.uk/jobs/details/5620371631?utm_medium=api&amp;utm_source=692fc859" TargetMode="External" Id="rId159"/><Relationship Type="http://schemas.openxmlformats.org/officeDocument/2006/relationships/hyperlink" Target="https://www.adzuna.co.uk/jobs/land/ad/5618834385?se=4GMYYZ0M8RGj7eqDZ1qJ2w&amp;utm_medium=api&amp;utm_source=692fc859&amp;v=A637DAA816CE299E6E02E7637E03DC1AF53ED3F4" TargetMode="External" Id="rId160"/><Relationship Type="http://schemas.openxmlformats.org/officeDocument/2006/relationships/hyperlink" Target="https://www.adzuna.co.uk/jobs/land/ad/5606113599?se=qDlVXp0M8RGj7eqDZ1qJ2w&amp;utm_medium=api&amp;utm_source=692fc859&amp;v=A39E231977877CB4937B4F4986DAE4F154F74473" TargetMode="External" Id="rId161"/><Relationship Type="http://schemas.openxmlformats.org/officeDocument/2006/relationships/hyperlink" Target="https://www.adzuna.co.uk/jobs/details/5614600530?utm_medium=api&amp;utm_source=692fc859" TargetMode="External" Id="rId162"/><Relationship Type="http://schemas.openxmlformats.org/officeDocument/2006/relationships/hyperlink" Target="https://www.adzuna.co.uk/jobs/land/ad/5632000662?se=9tGQT2YN8RGSJfyON74cmg&amp;utm_medium=api&amp;utm_source=692fc859&amp;v=8D1D8F0A702386A612994608F2D0E0FB5FDBAA85" TargetMode="External" Id="rId163"/><Relationship Type="http://schemas.openxmlformats.org/officeDocument/2006/relationships/hyperlink" Target="https://www.adzuna.co.uk/jobs/land/ad/5630825253?se=9tGQT2YN8RGSJfyON74cmg&amp;utm_medium=api&amp;utm_source=692fc859&amp;v=E058B3AAAB97218D4C25AAC1D1C221E0A18E32A8" TargetMode="External" Id="rId164"/><Relationship Type="http://schemas.openxmlformats.org/officeDocument/2006/relationships/hyperlink" Target="https://www.adzuna.co.uk/jobs/land/ad/5623289516?se=9tGQT2YN8RGSJfyON74cmg&amp;utm_medium=api&amp;utm_source=692fc859&amp;v=98200F0B35303F28F251B98B751C047455FED739" TargetMode="External" Id="rId165"/><Relationship Type="http://schemas.openxmlformats.org/officeDocument/2006/relationships/hyperlink" Target="https://www.adzuna.co.uk/jobs/land/ad/5611857772?se=9tGQT2YN8RGSJfyON74cmg&amp;utm_medium=api&amp;utm_source=692fc859&amp;v=130876FB58DBE4C06CC55F5D45A403BEBDC0F694" TargetMode="External" Id="rId166"/><Relationship Type="http://schemas.openxmlformats.org/officeDocument/2006/relationships/hyperlink" Target="https://www.adzuna.co.uk/jobs/land/ad/5610360968?se=9tGQT2YN8RGSJfyON74cmg&amp;utm_medium=api&amp;utm_source=692fc859&amp;v=6044C924BA29D273411603212A23185D84DB2BC3" TargetMode="External" Id="rId167"/><Relationship Type="http://schemas.openxmlformats.org/officeDocument/2006/relationships/hyperlink" Target="https://www.adzuna.co.uk/jobs/land/ad/5608091962?se=9tGQT2YN8RGSJfyON74cmg&amp;utm_medium=api&amp;utm_source=692fc859&amp;v=FBCBA37B8B4E1F3743F8FE44FAA4986D0567BC6C" TargetMode="External" Id="rId168"/><Relationship Type="http://schemas.openxmlformats.org/officeDocument/2006/relationships/hyperlink" Target="https://www.adzuna.co.uk/jobs/land/ad/5608088971?se=9tGQT2YN8RGSJfyON74cmg&amp;utm_medium=api&amp;utm_source=692fc859&amp;v=62B68C474DF68902E352B0D967C930F235A5C69E" TargetMode="External" Id="rId169"/><Relationship Type="http://schemas.openxmlformats.org/officeDocument/2006/relationships/hyperlink" Target="https://www.adzuna.co.uk/jobs/land/ad/5595589363?se=LBjuTWYN8RGSJfyON74cmg&amp;utm_medium=api&amp;utm_source=692fc859&amp;v=4A41C88AD6103493163A3AC4EB35F7BF7BC6974F" TargetMode="External" Id="rId170"/><Relationship Type="http://schemas.openxmlformats.org/officeDocument/2006/relationships/hyperlink" Target="https://www.adzuna.co.uk/jobs/land/ad/5578524719?se=srgNTmYN8RGSJfyON74cmg&amp;utm_medium=api&amp;utm_source=692fc859&amp;v=AE9A923B32A5FA30559220FF479F17A4E8ED4614" TargetMode="External" Id="rId171"/><Relationship Type="http://schemas.openxmlformats.org/officeDocument/2006/relationships/hyperlink" Target="https://www.adzuna.co.uk/jobs/land/ad/5578522778?se=srgNTmYN8RGSJfyON74cmg&amp;utm_medium=api&amp;utm_source=692fc859&amp;v=2B63AB4E71472079693B0EA98F003129F76268E4" TargetMode="External" Id="rId172"/><Relationship Type="http://schemas.openxmlformats.org/officeDocument/2006/relationships/hyperlink" Target="https://www.adzuna.co.uk/jobs/land/ad/5630216276?se=9tGQT2YN8RGSJfyON74cmg&amp;utm_medium=api&amp;utm_source=692fc859&amp;v=E2B0B3223996DA418DB8A2043C6141AAD459DD18" TargetMode="External" Id="rId173"/><Relationship Type="http://schemas.openxmlformats.org/officeDocument/2006/relationships/hyperlink" Target="https://www.adzuna.co.uk/jobs/land/ad/5624541173?se=9tGQT2YN8RGSJfyON74cmg&amp;utm_medium=api&amp;utm_source=692fc859&amp;v=C0821D1D264CFEEC4F896CCBB9188C4AEBC1A135" TargetMode="External" Id="rId174"/><Relationship Type="http://schemas.openxmlformats.org/officeDocument/2006/relationships/hyperlink" Target="https://www.adzuna.co.uk/jobs/land/ad/5616276965?se=9tGQT2YN8RGSJfyON74cmg&amp;utm_medium=api&amp;utm_source=692fc859&amp;v=4E86DEA483ABEF59DA211FFB38EF1CBD155B0D24" TargetMode="External" Id="rId175"/><Relationship Type="http://schemas.openxmlformats.org/officeDocument/2006/relationships/hyperlink" Target="https://www.adzuna.co.uk/jobs/land/ad/5604873485?se=9tGQT2YN8RGSJfyON74cmg&amp;utm_medium=api&amp;utm_source=692fc859&amp;v=008D110971E9A68EDDF28324C60900842CC81EC5" TargetMode="External" Id="rId176"/><Relationship Type="http://schemas.openxmlformats.org/officeDocument/2006/relationships/hyperlink" Target="https://www.adzuna.co.uk/jobs/land/ad/5635507173?se=ArWKTWYN8RGSJfyON74cmg&amp;utm_medium=api&amp;utm_source=692fc859&amp;v=F26661C5311A9BA0A6E06E80C87B8D4C86E05543" TargetMode="External" Id="rId177"/><Relationship Type="http://schemas.openxmlformats.org/officeDocument/2006/relationships/hyperlink" Target="https://www.adzuna.co.uk/jobs/land/ad/5635167194?se=ArWKTWYN8RGSJfyON74cmg&amp;utm_medium=api&amp;utm_source=692fc859&amp;v=EB341C0EAFF9190F1B828F6C53D29A934A2CAEF2" TargetMode="External" Id="rId178"/><Relationship Type="http://schemas.openxmlformats.org/officeDocument/2006/relationships/hyperlink" Target="https://www.adzuna.co.uk/jobs/land/ad/5627673956?se=ArWKTWYN8RGSJfyON74cmg&amp;utm_medium=api&amp;utm_source=692fc859&amp;v=8944E51E36D223DD9CC5C86EC90217E6931F7085" TargetMode="External" Id="rId179"/><Relationship Type="http://schemas.openxmlformats.org/officeDocument/2006/relationships/hyperlink" Target="https://www.adzuna.co.uk/jobs/land/ad/5633175436?se=jLaATmYN8RGSJfyON74cmg&amp;utm_medium=api&amp;utm_source=692fc859&amp;v=8F1FDF683D9D87D3A6A9329BADBEE9D453AB594C" TargetMode="External" Id="rId180"/><Relationship Type="http://schemas.openxmlformats.org/officeDocument/2006/relationships/hyperlink" Target="https://www.adzuna.co.uk/jobs/land/ad/5615410978?se=BideT2YN8RGSJfyON74cmg&amp;utm_medium=api&amp;utm_source=692fc859&amp;v=9505998CE5970D1117B9EFD76B238DCD71061A83" TargetMode="External" Id="rId181"/><Relationship Type="http://schemas.openxmlformats.org/officeDocument/2006/relationships/hyperlink" Target="https://www.adzuna.co.uk/jobs/land/ad/5462974834?se=BideT2YN8RGSJfyON74cmg&amp;utm_medium=api&amp;utm_source=692fc859&amp;v=F57B7F1F55B2CF52F969B1E1A8BBDAB12B649446" TargetMode="External" Id="rId182"/><Relationship Type="http://schemas.openxmlformats.org/officeDocument/2006/relationships/hyperlink" Target="https://www.adzuna.co.uk/jobs/land/ad/5631754520?se=9tGQT2YN8RGSJfyON74cmg&amp;utm_medium=api&amp;utm_source=692fc859&amp;v=4736AD3801096F74B2DF0DC308BF82EB2A2DBB72" TargetMode="External" Id="rId183"/><Relationship Type="http://schemas.openxmlformats.org/officeDocument/2006/relationships/hyperlink" Target="https://www.adzuna.co.uk/jobs/land/ad/5627673956?se=9tGQT2YN8RGSJfyON74cmg&amp;utm_medium=api&amp;utm_source=692fc859&amp;v=8944E51E36D223DD9CC5C86EC90217E6931F7085" TargetMode="External" Id="rId184"/><Relationship Type="http://schemas.openxmlformats.org/officeDocument/2006/relationships/hyperlink" Target="https://www.adzuna.co.uk/jobs/land/ad/5618834385?se=9tGQT2YN8RGSJfyON74cmg&amp;utm_medium=api&amp;utm_source=692fc859&amp;v=A637DAA816CE299E6E02E7637E03DC1AF53ED3F4" TargetMode="External" Id="rId18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6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L8" sqref="L8"/>
    </sheetView>
  </sheetViews>
  <sheetFormatPr baseColWidth="8" defaultRowHeight="15"/>
  <cols>
    <col hidden="1" width="14" customWidth="1" style="18" min="1" max="1"/>
    <col width="13" customWidth="1" style="18" min="2" max="2"/>
    <col width="32" customWidth="1" style="18" min="3" max="3"/>
    <col width="24" customWidth="1" style="18" min="4" max="4"/>
    <col width="20" customWidth="1" style="18" min="5" max="6"/>
    <col width="13" customWidth="1" style="18" min="7" max="7"/>
    <col width="18" customWidth="1" style="18" min="8" max="8"/>
    <col width="7" customWidth="1" style="18" min="9" max="9"/>
    <col width="45" customWidth="1" style="18" min="10" max="10"/>
    <col width="11" customWidth="1" style="18" min="11" max="11"/>
    <col width="14" customWidth="1" style="18" min="12" max="12"/>
    <col width="20" customWidth="1" style="18" min="13" max="13"/>
    <col width="40" customWidth="1" style="18" min="14" max="14"/>
    <col width="30" customWidth="1" style="18" min="15" max="15"/>
  </cols>
  <sheetData>
    <row r="1" ht="32.1" customHeight="1" s="18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 ht="15.95" customHeight="1" s="18">
      <c r="A2" s="8" t="inlineStr">
        <is>
          <t>91f378388bbb</t>
        </is>
      </c>
      <c r="B2" s="8" t="inlineStr">
        <is>
          <t>15/02/2026</t>
        </is>
      </c>
      <c r="C2" s="8" t="inlineStr">
        <is>
          <t>Water Engineer/Hydraulic Modeller</t>
        </is>
      </c>
      <c r="D2" s="8" t="inlineStr">
        <is>
          <t>ALDWYCH CONSULTING LTD</t>
        </is>
      </c>
      <c r="E2" s="8" t="inlineStr">
        <is>
          <t>South East London, London</t>
        </is>
      </c>
      <c r="F2" s="8" t="inlineStr">
        <is>
          <t>£45,000 – £45,000</t>
        </is>
      </c>
      <c r="G2" s="8" t="inlineStr">
        <is>
          <t>Adzuna UK</t>
        </is>
      </c>
      <c r="H2" s="9" t="inlineStr">
        <is>
          <t>CONFIRMED</t>
        </is>
      </c>
      <c r="I2" s="8" t="n">
        <v>80</v>
      </c>
      <c r="J2" s="10" t="inlineStr">
        <is>
          <t>Apply Here</t>
        </is>
      </c>
      <c r="K2" s="11" t="inlineStr">
        <is>
          <t>No</t>
        </is>
      </c>
      <c r="L2" s="11" t="n"/>
      <c r="M2" s="11" t="inlineStr">
        <is>
          <t>Pending</t>
        </is>
      </c>
      <c r="N2" s="12" t="inlineStr">
        <is>
          <t>Too senior / overqualified</t>
        </is>
      </c>
      <c r="O2" s="11" t="inlineStr">
        <is>
          <t>5-8 years of experience</t>
        </is>
      </c>
    </row>
    <row r="3" ht="15.95" customHeight="1" s="18">
      <c r="A3" s="13" t="inlineStr">
        <is>
          <t>33d1e821e300</t>
        </is>
      </c>
      <c r="B3" s="13" t="inlineStr">
        <is>
          <t>15/02/2026</t>
        </is>
      </c>
      <c r="C3" s="13" t="inlineStr">
        <is>
          <t>Water Engineer/Hydraulic Modeller</t>
        </is>
      </c>
      <c r="D3" s="13" t="inlineStr">
        <is>
          <t>Aldwych Consulting Ltd</t>
        </is>
      </c>
      <c r="E3" s="13" t="inlineStr">
        <is>
          <t>London, UK</t>
        </is>
      </c>
      <c r="F3" s="13" t="inlineStr">
        <is>
          <t>£40,000 – £48,000</t>
        </is>
      </c>
      <c r="G3" s="13" t="inlineStr">
        <is>
          <t>Adzuna UK</t>
        </is>
      </c>
      <c r="H3" s="9" t="inlineStr">
        <is>
          <t>CONFIRMED</t>
        </is>
      </c>
      <c r="I3" s="13" t="n">
        <v>80</v>
      </c>
      <c r="J3" s="14" t="inlineStr">
        <is>
          <t>Apply Here</t>
        </is>
      </c>
      <c r="K3" s="15" t="inlineStr">
        <is>
          <t>No</t>
        </is>
      </c>
      <c r="L3" s="15" t="n"/>
      <c r="M3" s="15" t="inlineStr">
        <is>
          <t>Pending</t>
        </is>
      </c>
      <c r="N3" s="16" t="inlineStr">
        <is>
          <t>Duplicate / already applied</t>
        </is>
      </c>
      <c r="O3" s="15" t="inlineStr">
        <is>
          <t>Same as the role in previous row</t>
        </is>
      </c>
    </row>
    <row r="4" ht="15.95" customHeight="1" s="18">
      <c r="A4" s="8" t="inlineStr">
        <is>
          <t>12d728954ff6</t>
        </is>
      </c>
      <c r="B4" s="8" t="inlineStr">
        <is>
          <t>15/02/2026</t>
        </is>
      </c>
      <c r="C4" s="8" t="inlineStr">
        <is>
          <t>Water Engineer/Hydraulic Modeller</t>
        </is>
      </c>
      <c r="D4" s="8" t="inlineStr">
        <is>
          <t>Aldwych Consulting</t>
        </is>
      </c>
      <c r="E4" s="8" t="inlineStr">
        <is>
          <t>Farringdon, Central London</t>
        </is>
      </c>
      <c r="F4" s="8" t="inlineStr">
        <is>
          <t>£40,000 – £48,000</t>
        </is>
      </c>
      <c r="G4" s="8" t="inlineStr">
        <is>
          <t>Adzuna UK</t>
        </is>
      </c>
      <c r="H4" s="9" t="inlineStr">
        <is>
          <t>CONFIRMED</t>
        </is>
      </c>
      <c r="I4" s="8" t="n">
        <v>80</v>
      </c>
      <c r="J4" s="10" t="inlineStr">
        <is>
          <t>Apply Here</t>
        </is>
      </c>
      <c r="K4" s="11" t="inlineStr">
        <is>
          <t>No</t>
        </is>
      </c>
      <c r="L4" s="11" t="n"/>
      <c r="M4" s="11" t="inlineStr">
        <is>
          <t>Pending</t>
        </is>
      </c>
      <c r="N4" s="12" t="inlineStr">
        <is>
          <t>Duplicate / already applied</t>
        </is>
      </c>
      <c r="O4" s="15" t="inlineStr">
        <is>
          <t>Same as the role in previous row</t>
        </is>
      </c>
    </row>
    <row r="5" ht="15.95" customHeight="1" s="18">
      <c r="A5" s="13" t="inlineStr">
        <is>
          <t>0034bed26e43</t>
        </is>
      </c>
      <c r="B5" s="13" t="inlineStr">
        <is>
          <t>15/02/2026</t>
        </is>
      </c>
      <c r="C5" s="13" t="inlineStr">
        <is>
          <t>Senior Civil Engineer, Water</t>
        </is>
      </c>
      <c r="D5" s="13" t="inlineStr">
        <is>
          <t>AECOM</t>
        </is>
      </c>
      <c r="E5" s="13" t="inlineStr">
        <is>
          <t>St. Albans, Hertfordshire</t>
        </is>
      </c>
      <c r="F5" s="13" t="inlineStr">
        <is>
          <t>£42,509 – £42,509</t>
        </is>
      </c>
      <c r="G5" s="13" t="inlineStr">
        <is>
          <t>Adzuna UK</t>
        </is>
      </c>
      <c r="H5" s="9" t="inlineStr">
        <is>
          <t>CONFIRMED</t>
        </is>
      </c>
      <c r="I5" s="13" t="n">
        <v>80</v>
      </c>
      <c r="J5" s="14" t="inlineStr">
        <is>
          <t>Apply Here</t>
        </is>
      </c>
      <c r="K5" s="15" t="inlineStr">
        <is>
          <t>No</t>
        </is>
      </c>
      <c r="L5" s="15" t="n"/>
      <c r="M5" s="15" t="inlineStr">
        <is>
          <t>Pending</t>
        </is>
      </c>
      <c r="N5" s="16" t="inlineStr">
        <is>
          <t>Other</t>
        </is>
      </c>
      <c r="O5" s="15" t="inlineStr">
        <is>
          <t>Vacency closed</t>
        </is>
      </c>
    </row>
    <row r="6" ht="15.95" customHeight="1" s="18">
      <c r="A6" s="8" t="inlineStr">
        <is>
          <t>d0e6c96fa336</t>
        </is>
      </c>
      <c r="B6" s="8" t="inlineStr">
        <is>
          <t>15/02/2026</t>
        </is>
      </c>
      <c r="C6" s="8" t="inlineStr">
        <is>
          <t>Senior Civil Engineer, Water</t>
        </is>
      </c>
      <c r="D6" s="8" t="inlineStr">
        <is>
          <t>AECOM</t>
        </is>
      </c>
      <c r="E6" s="8" t="inlineStr">
        <is>
          <t>London, UK</t>
        </is>
      </c>
      <c r="F6" s="8" t="inlineStr">
        <is>
          <t>£43,633 – £43,633</t>
        </is>
      </c>
      <c r="G6" s="8" t="inlineStr">
        <is>
          <t>Adzuna UK</t>
        </is>
      </c>
      <c r="H6" s="9" t="inlineStr">
        <is>
          <t>CONFIRMED</t>
        </is>
      </c>
      <c r="I6" s="8" t="n">
        <v>80</v>
      </c>
      <c r="J6" s="10" t="inlineStr">
        <is>
          <t>Apply Here</t>
        </is>
      </c>
      <c r="K6" s="11" t="n"/>
      <c r="L6" s="11" t="n"/>
      <c r="M6" s="11" t="inlineStr">
        <is>
          <t>Pending</t>
        </is>
      </c>
      <c r="N6" s="12" t="n"/>
      <c r="O6" s="11" t="n"/>
    </row>
    <row r="7" ht="15.95" customHeight="1" s="18">
      <c r="A7" s="13" t="inlineStr">
        <is>
          <t>ee386e08a3ca</t>
        </is>
      </c>
      <c r="B7" s="13" t="inlineStr">
        <is>
          <t>15/02/2026</t>
        </is>
      </c>
      <c r="C7" s="13" t="inlineStr">
        <is>
          <t>Mechanical Design Engineer</t>
        </is>
      </c>
      <c r="D7" s="13" t="inlineStr">
        <is>
          <t>Thames Water</t>
        </is>
      </c>
      <c r="E7" s="13" t="inlineStr">
        <is>
          <t>Caversham, Reading</t>
        </is>
      </c>
      <c r="F7" s="13" t="inlineStr">
        <is>
          <t>£42,640 – £55,000</t>
        </is>
      </c>
      <c r="G7" s="13" t="inlineStr">
        <is>
          <t>Adzuna UK</t>
        </is>
      </c>
      <c r="H7" s="9" t="inlineStr">
        <is>
          <t>CONFIRMED</t>
        </is>
      </c>
      <c r="I7" s="13" t="n">
        <v>75</v>
      </c>
      <c r="J7" s="14" t="inlineStr">
        <is>
          <t>Apply Here</t>
        </is>
      </c>
      <c r="K7" s="15" t="inlineStr">
        <is>
          <t>No</t>
        </is>
      </c>
      <c r="L7" s="15" t="n"/>
      <c r="M7" s="15" t="inlineStr">
        <is>
          <t>Pending</t>
        </is>
      </c>
      <c r="N7" s="16" t="inlineStr">
        <is>
          <t>Other</t>
        </is>
      </c>
      <c r="O7" s="15" t="inlineStr">
        <is>
          <t>Does not sponser for the role</t>
        </is>
      </c>
    </row>
    <row r="8" ht="15.95" customHeight="1" s="18">
      <c r="A8" s="8" t="inlineStr">
        <is>
          <t>d578bc4c768f</t>
        </is>
      </c>
      <c r="B8" s="8" t="inlineStr">
        <is>
          <t>15/02/2026</t>
        </is>
      </c>
      <c r="C8" s="8" t="inlineStr">
        <is>
          <t>Mechanical Design Engineer</t>
        </is>
      </c>
      <c r="D8" s="8" t="inlineStr">
        <is>
          <t>Recruiter</t>
        </is>
      </c>
      <c r="E8" s="8" t="inlineStr">
        <is>
          <t>Reading, Berkshire</t>
        </is>
      </c>
      <c r="F8" s="8" t="inlineStr">
        <is>
          <t>£42,640 – £55,000</t>
        </is>
      </c>
      <c r="G8" s="8" t="inlineStr">
        <is>
          <t>Adzuna UK</t>
        </is>
      </c>
      <c r="H8" s="9" t="inlineStr">
        <is>
          <t>CONFIRMED</t>
        </is>
      </c>
      <c r="I8" s="8" t="n">
        <v>75</v>
      </c>
      <c r="J8" s="10" t="inlineStr">
        <is>
          <t>Apply Here</t>
        </is>
      </c>
      <c r="K8" s="11" t="inlineStr">
        <is>
          <t>No</t>
        </is>
      </c>
      <c r="L8" s="11" t="n"/>
      <c r="M8" s="11" t="inlineStr">
        <is>
          <t>Pending</t>
        </is>
      </c>
      <c r="N8" s="12" t="inlineStr">
        <is>
          <t>Other</t>
        </is>
      </c>
      <c r="O8" s="15" t="inlineStr">
        <is>
          <t>Vacency closed</t>
        </is>
      </c>
    </row>
    <row r="9" ht="15.95" customHeight="1" s="18">
      <c r="A9" s="13" t="inlineStr">
        <is>
          <t>9dc5b325f2eb</t>
        </is>
      </c>
      <c r="B9" s="13" t="inlineStr">
        <is>
          <t>15/02/2026</t>
        </is>
      </c>
      <c r="C9" s="13" t="inlineStr">
        <is>
          <t>Mechanical Design Engineer - Water</t>
        </is>
      </c>
      <c r="D9" s="13" t="inlineStr">
        <is>
          <t>SSA Recruitment</t>
        </is>
      </c>
      <c r="E9" s="13" t="inlineStr">
        <is>
          <t>West Hampstead, North West London</t>
        </is>
      </c>
      <c r="F9" s="13" t="inlineStr">
        <is>
          <t>£55,000 – £65,000</t>
        </is>
      </c>
      <c r="G9" s="13" t="inlineStr">
        <is>
          <t>Adzuna UK</t>
        </is>
      </c>
      <c r="H9" s="9" t="inlineStr">
        <is>
          <t>CONFIRMED</t>
        </is>
      </c>
      <c r="I9" s="13" t="n">
        <v>65</v>
      </c>
      <c r="J9" s="14" t="inlineStr">
        <is>
          <t>Apply Here</t>
        </is>
      </c>
      <c r="K9" s="15" t="n"/>
      <c r="L9" s="15" t="n"/>
      <c r="M9" s="15" t="inlineStr">
        <is>
          <t>Pending</t>
        </is>
      </c>
      <c r="N9" s="16" t="n"/>
      <c r="O9" s="15" t="n"/>
    </row>
    <row r="10" ht="15.95" customHeight="1" s="18">
      <c r="A10" s="8" t="inlineStr">
        <is>
          <t>aabe29c643e4</t>
        </is>
      </c>
      <c r="B10" s="8" t="inlineStr">
        <is>
          <t>15/02/2026</t>
        </is>
      </c>
      <c r="C10" s="8" t="inlineStr">
        <is>
          <t>Senior Water Network Engineer/Modellers</t>
        </is>
      </c>
      <c r="D10" s="8" t="inlineStr">
        <is>
          <t>Jacobs</t>
        </is>
      </c>
      <c r="E10" s="8" t="inlineStr">
        <is>
          <t>Reading, Berkshire</t>
        </is>
      </c>
      <c r="F10" s="8" t="inlineStr">
        <is>
          <t>£50,253 – £50,253</t>
        </is>
      </c>
      <c r="G10" s="8" t="inlineStr">
        <is>
          <t>Adzuna UK</t>
        </is>
      </c>
      <c r="H10" s="9" t="inlineStr">
        <is>
          <t>CONFIRMED</t>
        </is>
      </c>
      <c r="I10" s="8" t="n">
        <v>65</v>
      </c>
      <c r="J10" s="10" t="inlineStr">
        <is>
          <t>Apply Here</t>
        </is>
      </c>
      <c r="K10" s="11" t="n"/>
      <c r="L10" s="11" t="n"/>
      <c r="M10" s="11" t="inlineStr">
        <is>
          <t>Pending</t>
        </is>
      </c>
      <c r="N10" s="12" t="n"/>
      <c r="O10" s="11" t="n"/>
    </row>
    <row r="11" ht="15.95" customHeight="1" s="18">
      <c r="A11" s="13" t="inlineStr">
        <is>
          <t>c87e01af5979</t>
        </is>
      </c>
      <c r="B11" s="13" t="inlineStr">
        <is>
          <t>15/02/2026</t>
        </is>
      </c>
      <c r="C11" s="13" t="inlineStr">
        <is>
          <t>Hydraulics Engineers - UK Wide</t>
        </is>
      </c>
      <c r="D11" s="13" t="inlineStr">
        <is>
          <t>Jacobs</t>
        </is>
      </c>
      <c r="E11" s="13" t="inlineStr">
        <is>
          <t>Reading, Berkshire</t>
        </is>
      </c>
      <c r="F11" s="13" t="inlineStr">
        <is>
          <t>£48,252 – £48,252</t>
        </is>
      </c>
      <c r="G11" s="13" t="inlineStr">
        <is>
          <t>Adzuna UK</t>
        </is>
      </c>
      <c r="H11" s="9" t="inlineStr">
        <is>
          <t>CONFIRMED</t>
        </is>
      </c>
      <c r="I11" s="13" t="n">
        <v>65</v>
      </c>
      <c r="J11" s="14" t="inlineStr">
        <is>
          <t>Apply Here</t>
        </is>
      </c>
      <c r="K11" s="15" t="n"/>
      <c r="L11" s="15" t="n"/>
      <c r="M11" s="15" t="inlineStr">
        <is>
          <t>Pending</t>
        </is>
      </c>
      <c r="N11" s="16" t="n"/>
      <c r="O11" s="15" t="n"/>
    </row>
    <row r="12" ht="15.95" customHeight="1" s="18">
      <c r="A12" s="8" t="inlineStr">
        <is>
          <t>c43e11ff8ca9</t>
        </is>
      </c>
      <c r="B12" s="8" t="inlineStr">
        <is>
          <t>15/02/2026</t>
        </is>
      </c>
      <c r="C12" s="8" t="inlineStr">
        <is>
          <t>Hydraulics Engineers - UK Wide</t>
        </is>
      </c>
      <c r="D12" s="8" t="inlineStr">
        <is>
          <t>Jacobs</t>
        </is>
      </c>
      <c r="E12" s="8" t="inlineStr">
        <is>
          <t>London, UK</t>
        </is>
      </c>
      <c r="F12" s="8" t="inlineStr">
        <is>
          <t>£49,369 – £49,369</t>
        </is>
      </c>
      <c r="G12" s="8" t="inlineStr">
        <is>
          <t>Adzuna UK</t>
        </is>
      </c>
      <c r="H12" s="9" t="inlineStr">
        <is>
          <t>CONFIRMED</t>
        </is>
      </c>
      <c r="I12" s="8" t="n">
        <v>65</v>
      </c>
      <c r="J12" s="10" t="inlineStr">
        <is>
          <t>Apply Here</t>
        </is>
      </c>
      <c r="K12" s="11" t="n"/>
      <c r="L12" s="11" t="n"/>
      <c r="M12" s="11" t="inlineStr">
        <is>
          <t>Pending</t>
        </is>
      </c>
      <c r="N12" s="12" t="n"/>
      <c r="O12" s="11" t="n"/>
    </row>
    <row r="13" ht="15.95" customHeight="1" s="18">
      <c r="A13" s="13" t="inlineStr">
        <is>
          <t>554b6c540a31</t>
        </is>
      </c>
      <c r="B13" s="13" t="inlineStr">
        <is>
          <t>15/02/2026</t>
        </is>
      </c>
      <c r="C13" s="13" t="inlineStr">
        <is>
          <t>Civil Engineer - Water</t>
        </is>
      </c>
      <c r="D13" s="13" t="inlineStr">
        <is>
          <t>Stantec</t>
        </is>
      </c>
      <c r="E13" s="13" t="inlineStr">
        <is>
          <t>High Wycombe, Buckinghamshire</t>
        </is>
      </c>
      <c r="F13" s="13" t="inlineStr">
        <is>
          <t>£50,309 – £50,309</t>
        </is>
      </c>
      <c r="G13" s="13" t="inlineStr">
        <is>
          <t>Adzuna UK</t>
        </is>
      </c>
      <c r="H13" s="9" t="inlineStr">
        <is>
          <t>CONFIRMED</t>
        </is>
      </c>
      <c r="I13" s="13" t="n">
        <v>60</v>
      </c>
      <c r="J13" s="14" t="inlineStr">
        <is>
          <t>Apply Here</t>
        </is>
      </c>
      <c r="K13" s="15" t="inlineStr">
        <is>
          <t>Yes</t>
        </is>
      </c>
      <c r="L13" s="19" t="n">
        <v>46060</v>
      </c>
      <c r="M13" s="15" t="inlineStr">
        <is>
          <t>Rejected</t>
        </is>
      </c>
      <c r="N13" s="16" t="n"/>
      <c r="O13" s="15" t="n"/>
    </row>
    <row r="14" ht="15.95" customHeight="1" s="18">
      <c r="A14" s="8" t="inlineStr">
        <is>
          <t>6b5e6cd83ae0</t>
        </is>
      </c>
      <c r="B14" s="8" t="inlineStr">
        <is>
          <t>15/02/2026</t>
        </is>
      </c>
      <c r="C14" s="8" t="inlineStr">
        <is>
          <t>Civil Engineer - Water</t>
        </is>
      </c>
      <c r="D14" s="8" t="inlineStr">
        <is>
          <t>Stantec</t>
        </is>
      </c>
      <c r="E14" s="8" t="inlineStr">
        <is>
          <t>Reading, Berkshire</t>
        </is>
      </c>
      <c r="F14" s="8" t="inlineStr">
        <is>
          <t>£50,558 – £50,558</t>
        </is>
      </c>
      <c r="G14" s="8" t="inlineStr">
        <is>
          <t>Adzuna UK</t>
        </is>
      </c>
      <c r="H14" s="9" t="inlineStr">
        <is>
          <t>CONFIRMED</t>
        </is>
      </c>
      <c r="I14" s="8" t="n">
        <v>60</v>
      </c>
      <c r="J14" s="10" t="inlineStr">
        <is>
          <t>Apply Here</t>
        </is>
      </c>
      <c r="K14" s="11" t="inlineStr">
        <is>
          <t>No</t>
        </is>
      </c>
      <c r="L14" s="11" t="n"/>
      <c r="M14" s="11" t="inlineStr">
        <is>
          <t>Pending</t>
        </is>
      </c>
      <c r="N14" s="12" t="inlineStr">
        <is>
          <t>Duplicate / already applied</t>
        </is>
      </c>
      <c r="O14" s="15" t="inlineStr">
        <is>
          <t>Same as the role in previous row</t>
        </is>
      </c>
    </row>
    <row r="15" ht="15.95" customHeight="1" s="18">
      <c r="A15" s="13" t="inlineStr">
        <is>
          <t>1cbc31004a24</t>
        </is>
      </c>
      <c r="B15" s="13" t="inlineStr">
        <is>
          <t>15/02/2026</t>
        </is>
      </c>
      <c r="C15" s="13" t="inlineStr">
        <is>
          <t>Civil Engineer - Water</t>
        </is>
      </c>
      <c r="D15" s="13" t="inlineStr">
        <is>
          <t>Stantec UK</t>
        </is>
      </c>
      <c r="E15" s="13" t="inlineStr">
        <is>
          <t>Caversham, Reading</t>
        </is>
      </c>
      <c r="F15" s="13" t="inlineStr">
        <is>
          <t>£44,336 – £44,336</t>
        </is>
      </c>
      <c r="G15" s="13" t="inlineStr">
        <is>
          <t>Adzuna UK</t>
        </is>
      </c>
      <c r="H15" s="9" t="inlineStr">
        <is>
          <t>CONFIRMED</t>
        </is>
      </c>
      <c r="I15" s="13" t="n">
        <v>60</v>
      </c>
      <c r="J15" s="14" t="inlineStr">
        <is>
          <t>Apply Here</t>
        </is>
      </c>
      <c r="K15" s="15" t="inlineStr">
        <is>
          <t>No</t>
        </is>
      </c>
      <c r="L15" s="15" t="n"/>
      <c r="M15" s="15" t="inlineStr">
        <is>
          <t>Pending</t>
        </is>
      </c>
      <c r="N15" s="16" t="inlineStr">
        <is>
          <t>Duplicate / already applied</t>
        </is>
      </c>
      <c r="O15" s="15" t="inlineStr">
        <is>
          <t>Same as the role in previous row</t>
        </is>
      </c>
    </row>
    <row r="16" ht="15.95" customHeight="1" s="18">
      <c r="A16" s="8" t="inlineStr">
        <is>
          <t>42be6efe69a3</t>
        </is>
      </c>
      <c r="B16" s="8" t="inlineStr">
        <is>
          <t>15/02/2026</t>
        </is>
      </c>
      <c r="C16" s="8" t="inlineStr">
        <is>
          <t>Senior Mechanical Engineer - Water</t>
        </is>
      </c>
      <c r="D16" s="8" t="inlineStr">
        <is>
          <t>AECOM</t>
        </is>
      </c>
      <c r="E16" s="8" t="inlineStr">
        <is>
          <t>St. Albans, Hertfordshire</t>
        </is>
      </c>
      <c r="F16" s="8" t="inlineStr">
        <is>
          <t>£46,954 – £46,954</t>
        </is>
      </c>
      <c r="G16" s="8" t="inlineStr">
        <is>
          <t>Adzuna UK</t>
        </is>
      </c>
      <c r="H16" s="9" t="inlineStr">
        <is>
          <t>CONFIRMED</t>
        </is>
      </c>
      <c r="I16" s="8" t="n">
        <v>60</v>
      </c>
      <c r="J16" s="10" t="inlineStr">
        <is>
          <t>Apply Here</t>
        </is>
      </c>
      <c r="K16" s="11" t="n"/>
      <c r="L16" s="11" t="n"/>
      <c r="M16" s="11" t="inlineStr">
        <is>
          <t>Pending</t>
        </is>
      </c>
      <c r="N16" s="12" t="n"/>
      <c r="O16" s="11" t="n"/>
    </row>
    <row r="17" ht="15.95" customHeight="1" s="18">
      <c r="A17" s="13" t="inlineStr">
        <is>
          <t>2a82b73d433a</t>
        </is>
      </c>
      <c r="B17" s="13" t="inlineStr">
        <is>
          <t>15/02/2026</t>
        </is>
      </c>
      <c r="C17" s="13" t="inlineStr">
        <is>
          <t>Senior Mechanical Engineer - Water</t>
        </is>
      </c>
      <c r="D17" s="13" t="inlineStr">
        <is>
          <t>AECOM</t>
        </is>
      </c>
      <c r="E17" s="13" t="inlineStr">
        <is>
          <t>London, UK</t>
        </is>
      </c>
      <c r="F17" s="13" t="inlineStr">
        <is>
          <t>£47,744 – £47,744</t>
        </is>
      </c>
      <c r="G17" s="13" t="inlineStr">
        <is>
          <t>Adzuna UK</t>
        </is>
      </c>
      <c r="H17" s="9" t="inlineStr">
        <is>
          <t>CONFIRMED</t>
        </is>
      </c>
      <c r="I17" s="13" t="n">
        <v>60</v>
      </c>
      <c r="J17" s="14" t="inlineStr">
        <is>
          <t>Apply Here</t>
        </is>
      </c>
      <c r="K17" s="15" t="n"/>
      <c r="L17" s="15" t="n"/>
      <c r="M17" s="15" t="inlineStr">
        <is>
          <t>Pending</t>
        </is>
      </c>
      <c r="N17" s="16" t="n"/>
      <c r="O17" s="15" t="n"/>
    </row>
    <row r="18" ht="15.95" customHeight="1" s="18">
      <c r="A18" s="8" t="inlineStr">
        <is>
          <t>dfe15f60b7a2</t>
        </is>
      </c>
      <c r="B18" s="8" t="inlineStr">
        <is>
          <t>15/02/2026</t>
        </is>
      </c>
      <c r="C18" s="8" t="inlineStr">
        <is>
          <t>Senior Mechanical Engineer - Water</t>
        </is>
      </c>
      <c r="D18" s="8" t="inlineStr">
        <is>
          <t>AECOM</t>
        </is>
      </c>
      <c r="E18" s="8" t="inlineStr">
        <is>
          <t>Croydon, London</t>
        </is>
      </c>
      <c r="F18" s="8" t="inlineStr">
        <is>
          <t>£46,355 – £46,355</t>
        </is>
      </c>
      <c r="G18" s="8" t="inlineStr">
        <is>
          <t>Adzuna UK</t>
        </is>
      </c>
      <c r="H18" s="9" t="inlineStr">
        <is>
          <t>CONFIRMED</t>
        </is>
      </c>
      <c r="I18" s="8" t="n">
        <v>60</v>
      </c>
      <c r="J18" s="10" t="inlineStr">
        <is>
          <t>Apply Here</t>
        </is>
      </c>
      <c r="K18" s="11" t="n"/>
      <c r="L18" s="11" t="n"/>
      <c r="M18" s="11" t="inlineStr">
        <is>
          <t>Pending</t>
        </is>
      </c>
      <c r="N18" s="12" t="n"/>
      <c r="O18" s="11" t="n"/>
    </row>
    <row r="19" ht="15.95" customHeight="1" s="18">
      <c r="A19" s="13" t="inlineStr">
        <is>
          <t>b296d50b7dce</t>
        </is>
      </c>
      <c r="B19" s="13" t="inlineStr">
        <is>
          <t>15/02/2026</t>
        </is>
      </c>
      <c r="C19" s="13" t="inlineStr">
        <is>
          <t>Quantity Surveyors THAMES</t>
        </is>
      </c>
      <c r="D19" s="13" t="inlineStr">
        <is>
          <t>Matchtech</t>
        </is>
      </c>
      <c r="E19" s="13" t="inlineStr">
        <is>
          <t>Farringdon, Central London</t>
        </is>
      </c>
      <c r="F19" s="13" t="inlineStr">
        <is>
          <t>£45,000 – £75,000</t>
        </is>
      </c>
      <c r="G19" s="13" t="inlineStr">
        <is>
          <t>Adzuna UK</t>
        </is>
      </c>
      <c r="H19" s="9" t="inlineStr">
        <is>
          <t>CONFIRMED</t>
        </is>
      </c>
      <c r="I19" s="13" t="n">
        <v>60</v>
      </c>
      <c r="J19" s="14" t="inlineStr">
        <is>
          <t>Apply Here</t>
        </is>
      </c>
      <c r="K19" s="15" t="inlineStr">
        <is>
          <t>No</t>
        </is>
      </c>
      <c r="L19" s="15" t="n"/>
      <c r="M19" s="15" t="inlineStr">
        <is>
          <t>Pending</t>
        </is>
      </c>
      <c r="N19" s="16" t="inlineStr">
        <is>
          <t>Missing required licence/cert</t>
        </is>
      </c>
      <c r="O19" s="15" t="inlineStr">
        <is>
          <t xml:space="preserve">Requir Quantity Surveying degree and experince </t>
        </is>
      </c>
    </row>
    <row r="20" ht="15.95" customHeight="1" s="18">
      <c r="A20" s="8" t="inlineStr">
        <is>
          <t>795cc27c4699</t>
        </is>
      </c>
      <c r="B20" s="8" t="inlineStr">
        <is>
          <t>15/02/2026</t>
        </is>
      </c>
      <c r="C20" s="8" t="inlineStr">
        <is>
          <t>Electrical Engineer</t>
        </is>
      </c>
      <c r="D20" s="8" t="inlineStr">
        <is>
          <t>Mott MacDonald</t>
        </is>
      </c>
      <c r="E20" s="8" t="inlineStr">
        <is>
          <t>Reading, Berkshire</t>
        </is>
      </c>
      <c r="F20" s="8" t="inlineStr">
        <is>
          <t>£51,358 – £51,358</t>
        </is>
      </c>
      <c r="G20" s="8" t="inlineStr">
        <is>
          <t>Adzuna UK</t>
        </is>
      </c>
      <c r="H20" s="9" t="inlineStr">
        <is>
          <t>CONFIRMED</t>
        </is>
      </c>
      <c r="I20" s="8" t="n">
        <v>55</v>
      </c>
      <c r="J20" s="10" t="inlineStr">
        <is>
          <t>Apply Here</t>
        </is>
      </c>
      <c r="K20" s="11" t="n"/>
      <c r="L20" s="11" t="n"/>
      <c r="M20" s="11" t="inlineStr">
        <is>
          <t>Pending</t>
        </is>
      </c>
      <c r="N20" s="12" t="n"/>
      <c r="O20" s="11" t="n"/>
    </row>
    <row r="21" ht="15.95" customHeight="1" s="18">
      <c r="A21" s="13" t="inlineStr">
        <is>
          <t>ec0341cc70f7</t>
        </is>
      </c>
      <c r="B21" s="13" t="inlineStr">
        <is>
          <t>15/02/2026</t>
        </is>
      </c>
      <c r="C21" s="13" t="inlineStr">
        <is>
          <t>Drainage Design Engineer</t>
        </is>
      </c>
      <c r="D21" s="13" t="inlineStr">
        <is>
          <t>Pave Recruit</t>
        </is>
      </c>
      <c r="E21" s="13" t="inlineStr">
        <is>
          <t>Richmond, West London</t>
        </is>
      </c>
      <c r="F21" s="13" t="inlineStr">
        <is>
          <t>£38,000 – £44,000</t>
        </is>
      </c>
      <c r="G21" s="13" t="inlineStr">
        <is>
          <t>Adzuna UK</t>
        </is>
      </c>
      <c r="H21" s="9" t="inlineStr">
        <is>
          <t>CONFIRMED</t>
        </is>
      </c>
      <c r="I21" s="13" t="n">
        <v>55</v>
      </c>
      <c r="J21" s="14" t="inlineStr">
        <is>
          <t>Apply Here</t>
        </is>
      </c>
      <c r="K21" s="15" t="n"/>
      <c r="L21" s="15" t="n"/>
      <c r="M21" s="15" t="inlineStr">
        <is>
          <t>Pending</t>
        </is>
      </c>
      <c r="N21" s="16" t="n"/>
      <c r="O21" s="15" t="n"/>
    </row>
    <row r="22" ht="16" customHeight="1" s="18">
      <c r="A22" s="20" t="inlineStr">
        <is>
          <t>83045d4d7991</t>
        </is>
      </c>
      <c r="B22" s="20" t="inlineStr">
        <is>
          <t>15/02/2026</t>
        </is>
      </c>
      <c r="C22" s="20" t="inlineStr">
        <is>
          <t>Senior Drainage Engineer</t>
        </is>
      </c>
      <c r="D22" s="20" t="inlineStr">
        <is>
          <t>Pertemps</t>
        </is>
      </c>
      <c r="E22" s="20" t="inlineStr">
        <is>
          <t>Bankside, South East London</t>
        </is>
      </c>
      <c r="F22" s="20" t="inlineStr">
        <is>
          <t>£40,000 – £55,000</t>
        </is>
      </c>
      <c r="G22" s="20" t="inlineStr">
        <is>
          <t>Adzuna UK</t>
        </is>
      </c>
      <c r="H22" s="21" t="inlineStr">
        <is>
          <t>CONFIRMED</t>
        </is>
      </c>
      <c r="I22" s="20" t="n">
        <v>75</v>
      </c>
      <c r="J22" s="22" t="inlineStr">
        <is>
          <t>Apply Here</t>
        </is>
      </c>
      <c r="K22" s="23" t="inlineStr"/>
      <c r="L22" s="23" t="inlineStr"/>
      <c r="M22" s="23" t="inlineStr">
        <is>
          <t>Pending</t>
        </is>
      </c>
      <c r="N22" s="24" t="inlineStr"/>
      <c r="O22" s="23" t="inlineStr"/>
    </row>
    <row r="23" ht="16" customHeight="1" s="18">
      <c r="A23" s="25" t="inlineStr">
        <is>
          <t>1259572c2f51</t>
        </is>
      </c>
      <c r="B23" s="25" t="inlineStr">
        <is>
          <t>15/02/2026</t>
        </is>
      </c>
      <c r="C23" s="25" t="inlineStr">
        <is>
          <t>Drainage Engineer</t>
        </is>
      </c>
      <c r="D23" s="25" t="inlineStr">
        <is>
          <t>CHARTWELL</t>
        </is>
      </c>
      <c r="E23" s="25" t="inlineStr">
        <is>
          <t>Chatham, Kent</t>
        </is>
      </c>
      <c r="F23" s="25" t="inlineStr">
        <is>
          <t>£45,000 – £45,000</t>
        </is>
      </c>
      <c r="G23" s="25" t="inlineStr">
        <is>
          <t>Adzuna UK</t>
        </is>
      </c>
      <c r="H23" s="21" t="inlineStr">
        <is>
          <t>CONFIRMED</t>
        </is>
      </c>
      <c r="I23" s="25" t="n">
        <v>70</v>
      </c>
      <c r="J23" s="26" t="inlineStr">
        <is>
          <t>Apply Here</t>
        </is>
      </c>
      <c r="K23" s="27" t="inlineStr"/>
      <c r="L23" s="27" t="inlineStr"/>
      <c r="M23" s="27" t="inlineStr">
        <is>
          <t>Pending</t>
        </is>
      </c>
      <c r="N23" s="28" t="inlineStr"/>
      <c r="O23" s="27" t="inlineStr"/>
    </row>
    <row r="24" ht="16" customHeight="1" s="18">
      <c r="A24" s="20" t="inlineStr">
        <is>
          <t>76f10131f861</t>
        </is>
      </c>
      <c r="B24" s="20" t="inlineStr">
        <is>
          <t>15/02/2026</t>
        </is>
      </c>
      <c r="C24" s="20" t="inlineStr">
        <is>
          <t>Drainage Engineer</t>
        </is>
      </c>
      <c r="D24" s="20" t="inlineStr">
        <is>
          <t>Vector Recruitment Solutions</t>
        </is>
      </c>
      <c r="E24" s="20" t="inlineStr">
        <is>
          <t>Farnborough, Hampshire</t>
        </is>
      </c>
      <c r="F24" s="20" t="inlineStr">
        <is>
          <t>£30,000 – £44,000</t>
        </is>
      </c>
      <c r="G24" s="20" t="inlineStr">
        <is>
          <t>Adzuna UK</t>
        </is>
      </c>
      <c r="H24" s="21" t="inlineStr">
        <is>
          <t>CONFIRMED</t>
        </is>
      </c>
      <c r="I24" s="20" t="n">
        <v>70</v>
      </c>
      <c r="J24" s="22" t="inlineStr">
        <is>
          <t>Apply Here</t>
        </is>
      </c>
      <c r="K24" s="23" t="inlineStr"/>
      <c r="L24" s="23" t="inlineStr"/>
      <c r="M24" s="23" t="inlineStr">
        <is>
          <t>Pending</t>
        </is>
      </c>
      <c r="N24" s="24" t="inlineStr"/>
      <c r="O24" s="23" t="inlineStr"/>
    </row>
    <row r="25" ht="16" customHeight="1" s="18">
      <c r="A25" s="25" t="inlineStr">
        <is>
          <t>05c61870a995</t>
        </is>
      </c>
      <c r="B25" s="25" t="inlineStr">
        <is>
          <t>15/02/2026</t>
        </is>
      </c>
      <c r="C25" s="25" t="inlineStr">
        <is>
          <t>Drainage Engineer</t>
        </is>
      </c>
      <c r="D25" s="25" t="inlineStr">
        <is>
          <t>Additional Resources Ltd</t>
        </is>
      </c>
      <c r="E25" s="25" t="inlineStr">
        <is>
          <t>Caversham, Reading</t>
        </is>
      </c>
      <c r="F25" s="25" t="inlineStr">
        <is>
          <t>£31,000 – £48,000</t>
        </is>
      </c>
      <c r="G25" s="25" t="inlineStr">
        <is>
          <t>Adzuna UK</t>
        </is>
      </c>
      <c r="H25" s="21" t="inlineStr">
        <is>
          <t>CONFIRMED</t>
        </is>
      </c>
      <c r="I25" s="25" t="n">
        <v>70</v>
      </c>
      <c r="J25" s="26" t="inlineStr">
        <is>
          <t>Apply Here</t>
        </is>
      </c>
      <c r="K25" s="27" t="inlineStr"/>
      <c r="L25" s="27" t="inlineStr"/>
      <c r="M25" s="27" t="inlineStr">
        <is>
          <t>Pending</t>
        </is>
      </c>
      <c r="N25" s="28" t="inlineStr"/>
      <c r="O25" s="27" t="inlineStr"/>
    </row>
    <row r="26" ht="16" customHeight="1" s="18">
      <c r="A26" s="20" t="inlineStr">
        <is>
          <t>4de218f7aabd</t>
        </is>
      </c>
      <c r="B26" s="20" t="inlineStr">
        <is>
          <t>15/02/2026</t>
        </is>
      </c>
      <c r="C26" s="20" t="inlineStr">
        <is>
          <t>Drainage Engineer - Pub Refurbishment Contract</t>
        </is>
      </c>
      <c r="D26" s="20" t="inlineStr">
        <is>
          <t>ARC  Ltd</t>
        </is>
      </c>
      <c r="E26" s="20" t="inlineStr">
        <is>
          <t>Hyde Park, West London</t>
        </is>
      </c>
      <c r="F26" s="20" t="inlineStr">
        <is>
          <t>£41,600 – £52,000</t>
        </is>
      </c>
      <c r="G26" s="20" t="inlineStr">
        <is>
          <t>Adzuna UK</t>
        </is>
      </c>
      <c r="H26" s="21" t="inlineStr">
        <is>
          <t>CONFIRMED</t>
        </is>
      </c>
      <c r="I26" s="20" t="n">
        <v>70</v>
      </c>
      <c r="J26" s="22" t="inlineStr">
        <is>
          <t>Apply Here</t>
        </is>
      </c>
      <c r="K26" s="23" t="inlineStr"/>
      <c r="L26" s="23" t="inlineStr"/>
      <c r="M26" s="23" t="inlineStr">
        <is>
          <t>Pending</t>
        </is>
      </c>
      <c r="N26" s="24" t="inlineStr"/>
      <c r="O26" s="23" t="inlineStr"/>
    </row>
    <row r="27" ht="16" customHeight="1" s="18">
      <c r="A27" s="25" t="inlineStr">
        <is>
          <t>651e5a77e1d5</t>
        </is>
      </c>
      <c r="B27" s="25" t="inlineStr">
        <is>
          <t>15/02/2026</t>
        </is>
      </c>
      <c r="C27" s="25" t="inlineStr">
        <is>
          <t>Drainage Engineer</t>
        </is>
      </c>
      <c r="D27" s="25" t="inlineStr">
        <is>
          <t>Reed</t>
        </is>
      </c>
      <c r="E27" s="25" t="inlineStr">
        <is>
          <t>London, UK</t>
        </is>
      </c>
      <c r="F27" s="25" t="inlineStr">
        <is>
          <t>£40,000 – £50,000</t>
        </is>
      </c>
      <c r="G27" s="25" t="inlineStr">
        <is>
          <t>Adzuna UK</t>
        </is>
      </c>
      <c r="H27" s="21" t="inlineStr">
        <is>
          <t>CONFIRMED</t>
        </is>
      </c>
      <c r="I27" s="25" t="n">
        <v>70</v>
      </c>
      <c r="J27" s="26" t="inlineStr">
        <is>
          <t>Apply Here</t>
        </is>
      </c>
      <c r="K27" s="27" t="inlineStr"/>
      <c r="L27" s="27" t="inlineStr"/>
      <c r="M27" s="27" t="inlineStr">
        <is>
          <t>Pending</t>
        </is>
      </c>
      <c r="N27" s="28" t="inlineStr"/>
      <c r="O27" s="27" t="inlineStr"/>
    </row>
    <row r="28" ht="16" customHeight="1" s="18">
      <c r="A28" s="20" t="inlineStr">
        <is>
          <t>ba0ea64a6b8f</t>
        </is>
      </c>
      <c r="B28" s="20" t="inlineStr">
        <is>
          <t>15/02/2026</t>
        </is>
      </c>
      <c r="C28" s="20" t="inlineStr">
        <is>
          <t>Drainage Engineer</t>
        </is>
      </c>
      <c r="D28" s="20" t="inlineStr">
        <is>
          <t>Vector Recruitment</t>
        </is>
      </c>
      <c r="E28" s="20" t="inlineStr">
        <is>
          <t>Guildford, Surrey</t>
        </is>
      </c>
      <c r="F28" s="20" t="inlineStr">
        <is>
          <t>£30,000 – £44,000</t>
        </is>
      </c>
      <c r="G28" s="20" t="inlineStr">
        <is>
          <t>Adzuna UK</t>
        </is>
      </c>
      <c r="H28" s="21" t="inlineStr">
        <is>
          <t>CONFIRMED</t>
        </is>
      </c>
      <c r="I28" s="20" t="n">
        <v>70</v>
      </c>
      <c r="J28" s="22" t="inlineStr">
        <is>
          <t>Apply Here</t>
        </is>
      </c>
      <c r="K28" s="23" t="inlineStr"/>
      <c r="L28" s="23" t="inlineStr"/>
      <c r="M28" s="23" t="inlineStr">
        <is>
          <t>Pending</t>
        </is>
      </c>
      <c r="N28" s="24" t="inlineStr"/>
      <c r="O28" s="23" t="inlineStr"/>
    </row>
    <row r="29" ht="16" customHeight="1" s="18">
      <c r="A29" s="25" t="inlineStr">
        <is>
          <t>2ac04426a028</t>
        </is>
      </c>
      <c r="B29" s="25" t="inlineStr">
        <is>
          <t>15/02/2026</t>
        </is>
      </c>
      <c r="C29" s="25" t="inlineStr">
        <is>
          <t>Civil Infrastructure Engineer</t>
        </is>
      </c>
      <c r="D29" s="25" t="inlineStr">
        <is>
          <t>Zodiac Recruitment</t>
        </is>
      </c>
      <c r="E29" s="25" t="inlineStr">
        <is>
          <t>Stone Cross, Crowborough</t>
        </is>
      </c>
      <c r="F29" s="25" t="inlineStr">
        <is>
          <t>£32,000 – £44,000</t>
        </is>
      </c>
      <c r="G29" s="25" t="inlineStr">
        <is>
          <t>Adzuna UK</t>
        </is>
      </c>
      <c r="H29" s="21" t="inlineStr">
        <is>
          <t>CONFIRMED</t>
        </is>
      </c>
      <c r="I29" s="25" t="n">
        <v>70</v>
      </c>
      <c r="J29" s="26" t="inlineStr">
        <is>
          <t>Apply Here</t>
        </is>
      </c>
      <c r="K29" s="27" t="inlineStr"/>
      <c r="L29" s="27" t="inlineStr"/>
      <c r="M29" s="27" t="inlineStr">
        <is>
          <t>Pending</t>
        </is>
      </c>
      <c r="N29" s="28" t="inlineStr"/>
      <c r="O29" s="27" t="inlineStr"/>
    </row>
    <row r="30" ht="16" customHeight="1" s="18">
      <c r="A30" s="20" t="inlineStr">
        <is>
          <t>841d2985b4fd</t>
        </is>
      </c>
      <c r="B30" s="20" t="inlineStr">
        <is>
          <t>15/02/2026</t>
        </is>
      </c>
      <c r="C30" s="20" t="inlineStr">
        <is>
          <t>Technician/drainage engineer</t>
        </is>
      </c>
      <c r="D30" s="20" t="inlineStr">
        <is>
          <t>Barnet Council</t>
        </is>
      </c>
      <c r="E30" s="20" t="inlineStr">
        <is>
          <t>Friern Barnet, North London</t>
        </is>
      </c>
      <c r="F30" s="20" t="inlineStr">
        <is>
          <t>£39,276 – £42,771</t>
        </is>
      </c>
      <c r="G30" s="20" t="inlineStr">
        <is>
          <t>Adzuna UK</t>
        </is>
      </c>
      <c r="H30" s="21" t="inlineStr">
        <is>
          <t>CONFIRMED</t>
        </is>
      </c>
      <c r="I30" s="20" t="n">
        <v>70</v>
      </c>
      <c r="J30" s="22" t="inlineStr">
        <is>
          <t>Apply Here</t>
        </is>
      </c>
      <c r="K30" s="23" t="inlineStr"/>
      <c r="L30" s="23" t="inlineStr"/>
      <c r="M30" s="23" t="inlineStr">
        <is>
          <t>Pending</t>
        </is>
      </c>
      <c r="N30" s="24" t="inlineStr"/>
      <c r="O30" s="23" t="inlineStr"/>
    </row>
    <row r="31" ht="16" customHeight="1" s="18">
      <c r="A31" s="25" t="inlineStr">
        <is>
          <t>1a577b93606b</t>
        </is>
      </c>
      <c r="B31" s="25" t="inlineStr">
        <is>
          <t>15/02/2026</t>
        </is>
      </c>
      <c r="C31" s="25" t="inlineStr">
        <is>
          <t>Drainage Engineer</t>
        </is>
      </c>
      <c r="D31" s="25" t="inlineStr">
        <is>
          <t>Ernest Gordon Recruitment</t>
        </is>
      </c>
      <c r="E31" s="25" t="inlineStr">
        <is>
          <t>South Croydon, South East London</t>
        </is>
      </c>
      <c r="F31" s="25" t="inlineStr">
        <is>
          <t>£45,000 – £45,000</t>
        </is>
      </c>
      <c r="G31" s="25" t="inlineStr">
        <is>
          <t>Adzuna UK</t>
        </is>
      </c>
      <c r="H31" s="21" t="inlineStr">
        <is>
          <t>CONFIRMED</t>
        </is>
      </c>
      <c r="I31" s="25" t="n">
        <v>70</v>
      </c>
      <c r="J31" s="26" t="inlineStr">
        <is>
          <t>Apply Here</t>
        </is>
      </c>
      <c r="K31" s="27" t="inlineStr"/>
      <c r="L31" s="27" t="inlineStr"/>
      <c r="M31" s="27" t="inlineStr">
        <is>
          <t>Pending</t>
        </is>
      </c>
      <c r="N31" s="28" t="inlineStr"/>
      <c r="O31" s="27" t="inlineStr"/>
    </row>
    <row r="32" ht="16" customHeight="1" s="18">
      <c r="A32" s="20" t="inlineStr">
        <is>
          <t>b8ae75512742</t>
        </is>
      </c>
      <c r="B32" s="20" t="inlineStr">
        <is>
          <t>15/02/2026</t>
        </is>
      </c>
      <c r="C32" s="20" t="inlineStr">
        <is>
          <t>Drainage Engineer</t>
        </is>
      </c>
      <c r="D32" s="20" t="inlineStr">
        <is>
          <t>Ernest Gordon Recruitment Limited</t>
        </is>
      </c>
      <c r="E32" s="20" t="inlineStr">
        <is>
          <t>Croydon, London</t>
        </is>
      </c>
      <c r="F32" s="20" t="inlineStr">
        <is>
          <t>£35,000 – £45,000</t>
        </is>
      </c>
      <c r="G32" s="20" t="inlineStr">
        <is>
          <t>Adzuna UK</t>
        </is>
      </c>
      <c r="H32" s="21" t="inlineStr">
        <is>
          <t>CONFIRMED</t>
        </is>
      </c>
      <c r="I32" s="20" t="n">
        <v>70</v>
      </c>
      <c r="J32" s="22" t="inlineStr">
        <is>
          <t>Apply Here</t>
        </is>
      </c>
      <c r="K32" s="23" t="inlineStr"/>
      <c r="L32" s="23" t="inlineStr"/>
      <c r="M32" s="23" t="inlineStr">
        <is>
          <t>Pending</t>
        </is>
      </c>
      <c r="N32" s="24" t="inlineStr"/>
      <c r="O32" s="23" t="inlineStr"/>
    </row>
    <row r="33" ht="16" customHeight="1" s="18">
      <c r="A33" s="25" t="inlineStr">
        <is>
          <t>cf8db4a8ecb7</t>
        </is>
      </c>
      <c r="B33" s="25" t="inlineStr">
        <is>
          <t>15/02/2026</t>
        </is>
      </c>
      <c r="C33" s="25" t="inlineStr">
        <is>
          <t>Drainage Engineer</t>
        </is>
      </c>
      <c r="D33" s="25" t="inlineStr">
        <is>
          <t>Ernest Gordon Recruitment Limited</t>
        </is>
      </c>
      <c r="E33" s="25" t="inlineStr">
        <is>
          <t>South Croydon, South East London</t>
        </is>
      </c>
      <c r="F33" s="25" t="inlineStr">
        <is>
          <t>£35,000 – £45,000</t>
        </is>
      </c>
      <c r="G33" s="25" t="inlineStr">
        <is>
          <t>Adzuna UK</t>
        </is>
      </c>
      <c r="H33" s="21" t="inlineStr">
        <is>
          <t>CONFIRMED</t>
        </is>
      </c>
      <c r="I33" s="25" t="n">
        <v>70</v>
      </c>
      <c r="J33" s="26" t="inlineStr">
        <is>
          <t>Apply Here</t>
        </is>
      </c>
      <c r="K33" s="27" t="inlineStr"/>
      <c r="L33" s="27" t="inlineStr"/>
      <c r="M33" s="27" t="inlineStr">
        <is>
          <t>Pending</t>
        </is>
      </c>
      <c r="N33" s="28" t="inlineStr"/>
      <c r="O33" s="27" t="inlineStr"/>
    </row>
    <row r="34" ht="16" customHeight="1" s="18">
      <c r="A34" s="20" t="inlineStr">
        <is>
          <t>c579f6c01e71</t>
        </is>
      </c>
      <c r="B34" s="20" t="inlineStr">
        <is>
          <t>15/02/2026</t>
        </is>
      </c>
      <c r="C34" s="20" t="inlineStr">
        <is>
          <t>Drainage Engineer</t>
        </is>
      </c>
      <c r="D34" s="20" t="inlineStr">
        <is>
          <t>Ernest Gordon Recruitment Limited</t>
        </is>
      </c>
      <c r="E34" s="20" t="inlineStr">
        <is>
          <t>Croydon, London</t>
        </is>
      </c>
      <c r="F34" s="20" t="inlineStr">
        <is>
          <t>£35,000 – £45,000</t>
        </is>
      </c>
      <c r="G34" s="20" t="inlineStr">
        <is>
          <t>Adzuna UK</t>
        </is>
      </c>
      <c r="H34" s="21" t="inlineStr">
        <is>
          <t>CONFIRMED</t>
        </is>
      </c>
      <c r="I34" s="20" t="n">
        <v>70</v>
      </c>
      <c r="J34" s="22" t="inlineStr">
        <is>
          <t>Apply Here</t>
        </is>
      </c>
      <c r="K34" s="23" t="inlineStr"/>
      <c r="L34" s="23" t="inlineStr"/>
      <c r="M34" s="23" t="inlineStr">
        <is>
          <t>Pending</t>
        </is>
      </c>
      <c r="N34" s="24" t="inlineStr"/>
      <c r="O34" s="23" t="inlineStr"/>
    </row>
    <row r="35" ht="16" customHeight="1" s="18">
      <c r="A35" s="25" t="inlineStr">
        <is>
          <t>556dd53be35c</t>
        </is>
      </c>
      <c r="B35" s="25" t="inlineStr">
        <is>
          <t>15/02/2026</t>
        </is>
      </c>
      <c r="C35" s="25" t="inlineStr">
        <is>
          <t>Mechanical Design Engineer - Water</t>
        </is>
      </c>
      <c r="D35" s="25" t="inlineStr">
        <is>
          <t>SSA Recruitment</t>
        </is>
      </c>
      <c r="E35" s="25" t="inlineStr">
        <is>
          <t>West Hampstead, North West London</t>
        </is>
      </c>
      <c r="F35" s="25" t="inlineStr">
        <is>
          <t>£55,000 – £65,000</t>
        </is>
      </c>
      <c r="G35" s="25" t="inlineStr">
        <is>
          <t>Adzuna UK</t>
        </is>
      </c>
      <c r="H35" s="21" t="inlineStr">
        <is>
          <t>CONFIRMED</t>
        </is>
      </c>
      <c r="I35" s="25" t="n">
        <v>65</v>
      </c>
      <c r="J35" s="26" t="inlineStr">
        <is>
          <t>Apply Here</t>
        </is>
      </c>
      <c r="K35" s="27" t="inlineStr"/>
      <c r="L35" s="27" t="inlineStr"/>
      <c r="M35" s="27" t="inlineStr">
        <is>
          <t>Pending</t>
        </is>
      </c>
      <c r="N35" s="28" t="inlineStr"/>
      <c r="O35" s="27" t="inlineStr"/>
    </row>
    <row r="36" ht="16" customHeight="1" s="18">
      <c r="A36" s="20" t="inlineStr">
        <is>
          <t>29d4744a926f</t>
        </is>
      </c>
      <c r="B36" s="20" t="inlineStr">
        <is>
          <t>15/02/2026</t>
        </is>
      </c>
      <c r="C36" s="20" t="inlineStr">
        <is>
          <t>Senior Water Network Engineer/Modellers</t>
        </is>
      </c>
      <c r="D36" s="20" t="inlineStr">
        <is>
          <t>Jacobs</t>
        </is>
      </c>
      <c r="E36" s="20" t="inlineStr">
        <is>
          <t>Reading, Berkshire</t>
        </is>
      </c>
      <c r="F36" s="20" t="inlineStr">
        <is>
          <t>£50,253 – £50,253</t>
        </is>
      </c>
      <c r="G36" s="20" t="inlineStr">
        <is>
          <t>Adzuna UK</t>
        </is>
      </c>
      <c r="H36" s="21" t="inlineStr">
        <is>
          <t>CONFIRMED</t>
        </is>
      </c>
      <c r="I36" s="20" t="n">
        <v>65</v>
      </c>
      <c r="J36" s="22" t="inlineStr">
        <is>
          <t>Apply Here</t>
        </is>
      </c>
      <c r="K36" s="23" t="inlineStr"/>
      <c r="L36" s="23" t="inlineStr"/>
      <c r="M36" s="23" t="inlineStr">
        <is>
          <t>Pending</t>
        </is>
      </c>
      <c r="N36" s="24" t="inlineStr"/>
      <c r="O36" s="23" t="inlineStr"/>
    </row>
    <row r="37" ht="16" customHeight="1" s="18">
      <c r="A37" s="25" t="inlineStr">
        <is>
          <t>085472100acd</t>
        </is>
      </c>
      <c r="B37" s="25" t="inlineStr">
        <is>
          <t>15/02/2026</t>
        </is>
      </c>
      <c r="C37" s="25" t="inlineStr">
        <is>
          <t>Hydraulics Engineers - UK Wide</t>
        </is>
      </c>
      <c r="D37" s="25" t="inlineStr">
        <is>
          <t>Jacobs</t>
        </is>
      </c>
      <c r="E37" s="25" t="inlineStr">
        <is>
          <t>Reading, Berkshire</t>
        </is>
      </c>
      <c r="F37" s="25" t="inlineStr">
        <is>
          <t>£48,252 – £48,252</t>
        </is>
      </c>
      <c r="G37" s="25" t="inlineStr">
        <is>
          <t>Adzuna UK</t>
        </is>
      </c>
      <c r="H37" s="21" t="inlineStr">
        <is>
          <t>CONFIRMED</t>
        </is>
      </c>
      <c r="I37" s="25" t="n">
        <v>65</v>
      </c>
      <c r="J37" s="26" t="inlineStr">
        <is>
          <t>Apply Here</t>
        </is>
      </c>
      <c r="K37" s="27" t="inlineStr"/>
      <c r="L37" s="27" t="inlineStr"/>
      <c r="M37" s="27" t="inlineStr">
        <is>
          <t>Pending</t>
        </is>
      </c>
      <c r="N37" s="28" t="inlineStr"/>
      <c r="O37" s="27" t="inlineStr"/>
    </row>
    <row r="38" ht="16" customHeight="1" s="18">
      <c r="A38" s="20" t="inlineStr">
        <is>
          <t>7fc3b4655872</t>
        </is>
      </c>
      <c r="B38" s="20" t="inlineStr">
        <is>
          <t>15/02/2026</t>
        </is>
      </c>
      <c r="C38" s="20" t="inlineStr">
        <is>
          <t>Hydraulics Engineers - UK Wide</t>
        </is>
      </c>
      <c r="D38" s="20" t="inlineStr">
        <is>
          <t>Jacobs</t>
        </is>
      </c>
      <c r="E38" s="20" t="inlineStr">
        <is>
          <t>London, UK</t>
        </is>
      </c>
      <c r="F38" s="20" t="inlineStr">
        <is>
          <t>£49,369 – £49,369</t>
        </is>
      </c>
      <c r="G38" s="20" t="inlineStr">
        <is>
          <t>Adzuna UK</t>
        </is>
      </c>
      <c r="H38" s="21" t="inlineStr">
        <is>
          <t>CONFIRMED</t>
        </is>
      </c>
      <c r="I38" s="20" t="n">
        <v>65</v>
      </c>
      <c r="J38" s="22" t="inlineStr">
        <is>
          <t>Apply Here</t>
        </is>
      </c>
      <c r="K38" s="23" t="inlineStr"/>
      <c r="L38" s="23" t="inlineStr"/>
      <c r="M38" s="23" t="inlineStr">
        <is>
          <t>Pending</t>
        </is>
      </c>
      <c r="N38" s="24" t="inlineStr"/>
      <c r="O38" s="23" t="inlineStr"/>
    </row>
    <row r="39" ht="16" customHeight="1" s="18">
      <c r="A39" s="25" t="inlineStr">
        <is>
          <t>5a9a54ed5120</t>
        </is>
      </c>
      <c r="B39" s="25" t="inlineStr">
        <is>
          <t>15/02/2026</t>
        </is>
      </c>
      <c r="C39" s="25" t="inlineStr">
        <is>
          <t>Senior Civil Engineer</t>
        </is>
      </c>
      <c r="D39" s="25" t="inlineStr">
        <is>
          <t>Penguin Recruitment</t>
        </is>
      </c>
      <c r="E39" s="25" t="inlineStr">
        <is>
          <t>Denner Hill, Great Missenden</t>
        </is>
      </c>
      <c r="F39" s="25" t="inlineStr">
        <is>
          <t>£38,000 – £60,000</t>
        </is>
      </c>
      <c r="G39" s="25" t="inlineStr">
        <is>
          <t>Adzuna UK</t>
        </is>
      </c>
      <c r="H39" s="21" t="inlineStr">
        <is>
          <t>CONFIRMED</t>
        </is>
      </c>
      <c r="I39" s="25" t="n">
        <v>60</v>
      </c>
      <c r="J39" s="26" t="inlineStr">
        <is>
          <t>Apply Here</t>
        </is>
      </c>
      <c r="K39" s="27" t="inlineStr"/>
      <c r="L39" s="27" t="inlineStr"/>
      <c r="M39" s="27" t="inlineStr">
        <is>
          <t>Pending</t>
        </is>
      </c>
      <c r="N39" s="28" t="inlineStr"/>
      <c r="O39" s="27" t="inlineStr"/>
    </row>
    <row r="40" ht="16" customHeight="1" s="18">
      <c r="A40" s="20" t="inlineStr">
        <is>
          <t>fdf40b771f71</t>
        </is>
      </c>
      <c r="B40" s="20" t="inlineStr">
        <is>
          <t>15/02/2026</t>
        </is>
      </c>
      <c r="C40" s="20" t="inlineStr">
        <is>
          <t>Senior Civil Engineer - Drainage &amp; Highway</t>
        </is>
      </c>
      <c r="D40" s="20" t="inlineStr">
        <is>
          <t>Pertemps</t>
        </is>
      </c>
      <c r="E40" s="20" t="inlineStr">
        <is>
          <t>Fitzrovia, West London</t>
        </is>
      </c>
      <c r="F40" s="20" t="inlineStr">
        <is>
          <t>£45,000 – £55,000</t>
        </is>
      </c>
      <c r="G40" s="20" t="inlineStr">
        <is>
          <t>Adzuna UK</t>
        </is>
      </c>
      <c r="H40" s="21" t="inlineStr">
        <is>
          <t>CONFIRMED</t>
        </is>
      </c>
      <c r="I40" s="20" t="n">
        <v>60</v>
      </c>
      <c r="J40" s="22" t="inlineStr">
        <is>
          <t>Apply Here</t>
        </is>
      </c>
      <c r="K40" s="23" t="inlineStr"/>
      <c r="L40" s="23" t="inlineStr"/>
      <c r="M40" s="23" t="inlineStr">
        <is>
          <t>Pending</t>
        </is>
      </c>
      <c r="N40" s="24" t="inlineStr"/>
      <c r="O40" s="23" t="inlineStr"/>
    </row>
    <row r="41" ht="16" customHeight="1" s="18">
      <c r="A41" s="25" t="inlineStr">
        <is>
          <t>9410fd144013</t>
        </is>
      </c>
      <c r="B41" s="25" t="inlineStr">
        <is>
          <t>15/02/2026</t>
        </is>
      </c>
      <c r="C41" s="25" t="inlineStr">
        <is>
          <t>Civil Engineer (Airports) – Pavements and Drainage</t>
        </is>
      </c>
      <c r="D41" s="25" t="inlineStr">
        <is>
          <t>RPS Group Limited</t>
        </is>
      </c>
      <c r="E41" s="25" t="inlineStr">
        <is>
          <t>London, UK</t>
        </is>
      </c>
      <c r="F41" s="25" t="inlineStr">
        <is>
          <t>£43,960 – £43,960</t>
        </is>
      </c>
      <c r="G41" s="25" t="inlineStr">
        <is>
          <t>Adzuna UK</t>
        </is>
      </c>
      <c r="H41" s="21" t="inlineStr">
        <is>
          <t>CONFIRMED</t>
        </is>
      </c>
      <c r="I41" s="25" t="n">
        <v>60</v>
      </c>
      <c r="J41" s="26" t="inlineStr">
        <is>
          <t>Apply Here</t>
        </is>
      </c>
      <c r="K41" s="27" t="inlineStr"/>
      <c r="L41" s="27" t="inlineStr"/>
      <c r="M41" s="27" t="inlineStr">
        <is>
          <t>Pending</t>
        </is>
      </c>
      <c r="N41" s="28" t="inlineStr"/>
      <c r="O41" s="27" t="inlineStr"/>
    </row>
    <row r="42" ht="16" customHeight="1" s="18">
      <c r="A42" s="20" t="inlineStr">
        <is>
          <t>9c5f476e7cf6</t>
        </is>
      </c>
      <c r="B42" s="20" t="inlineStr">
        <is>
          <t>15/02/2026</t>
        </is>
      </c>
      <c r="C42" s="20" t="inlineStr">
        <is>
          <t>Sr Civil Enigneer</t>
        </is>
      </c>
      <c r="D42" s="20" t="inlineStr">
        <is>
          <t xml:space="preserve">RGB London </t>
        </is>
      </c>
      <c r="E42" s="20" t="inlineStr">
        <is>
          <t>Central London, London</t>
        </is>
      </c>
      <c r="F42" s="20" t="inlineStr">
        <is>
          <t>£45,000 – £55,000</t>
        </is>
      </c>
      <c r="G42" s="20" t="inlineStr">
        <is>
          <t>Adzuna UK</t>
        </is>
      </c>
      <c r="H42" s="21" t="inlineStr">
        <is>
          <t>CONFIRMED</t>
        </is>
      </c>
      <c r="I42" s="20" t="n">
        <v>60</v>
      </c>
      <c r="J42" s="22" t="inlineStr">
        <is>
          <t>Apply Here</t>
        </is>
      </c>
      <c r="K42" s="23" t="inlineStr"/>
      <c r="L42" s="23" t="inlineStr"/>
      <c r="M42" s="23" t="inlineStr">
        <is>
          <t>Pending</t>
        </is>
      </c>
      <c r="N42" s="24" t="inlineStr"/>
      <c r="O42" s="23" t="inlineStr"/>
    </row>
    <row r="43" ht="16" customHeight="1" s="18">
      <c r="A43" s="25" t="inlineStr">
        <is>
          <t>d0f126a7e892</t>
        </is>
      </c>
      <c r="B43" s="25" t="inlineStr">
        <is>
          <t>15/02/2026</t>
        </is>
      </c>
      <c r="C43" s="25" t="inlineStr">
        <is>
          <t>Assistant Quantity Surveyor / Estimator - Civil Engineering</t>
        </is>
      </c>
      <c r="D43" s="25" t="inlineStr">
        <is>
          <t>Henley Chase</t>
        </is>
      </c>
      <c r="E43" s="25" t="inlineStr">
        <is>
          <t>New Haw, Addlestone</t>
        </is>
      </c>
      <c r="F43" s="25" t="inlineStr">
        <is>
          <t>£30,000 – £50,000</t>
        </is>
      </c>
      <c r="G43" s="25" t="inlineStr">
        <is>
          <t>Adzuna UK</t>
        </is>
      </c>
      <c r="H43" s="21" t="inlineStr">
        <is>
          <t>CONFIRMED</t>
        </is>
      </c>
      <c r="I43" s="25" t="n">
        <v>60</v>
      </c>
      <c r="J43" s="26" t="inlineStr">
        <is>
          <t>Apply Here</t>
        </is>
      </c>
      <c r="K43" s="27" t="inlineStr"/>
      <c r="L43" s="27" t="inlineStr"/>
      <c r="M43" s="27" t="inlineStr">
        <is>
          <t>Pending</t>
        </is>
      </c>
      <c r="N43" s="28" t="inlineStr"/>
      <c r="O43" s="27" t="inlineStr"/>
    </row>
    <row r="44" ht="16" customHeight="1" s="18">
      <c r="A44" s="20" t="inlineStr">
        <is>
          <t>035607cabc8c</t>
        </is>
      </c>
      <c r="B44" s="20" t="inlineStr">
        <is>
          <t>15/02/2026</t>
        </is>
      </c>
      <c r="C44" s="20" t="inlineStr">
        <is>
          <t>Health And Safety Manager</t>
        </is>
      </c>
      <c r="D44" s="20" t="inlineStr">
        <is>
          <t>OH Medical Recruitment Ltd</t>
        </is>
      </c>
      <c r="E44" s="20" t="inlineStr">
        <is>
          <t>Penenden Heath, Maidstone</t>
        </is>
      </c>
      <c r="F44" s="20" t="inlineStr">
        <is>
          <t>£50,000 – £55,000</t>
        </is>
      </c>
      <c r="G44" s="20" t="inlineStr">
        <is>
          <t>Adzuna UK</t>
        </is>
      </c>
      <c r="H44" s="21" t="inlineStr">
        <is>
          <t>CONFIRMED</t>
        </is>
      </c>
      <c r="I44" s="20" t="n">
        <v>60</v>
      </c>
      <c r="J44" s="22" t="inlineStr">
        <is>
          <t>Apply Here</t>
        </is>
      </c>
      <c r="K44" s="23" t="inlineStr"/>
      <c r="L44" s="23" t="inlineStr"/>
      <c r="M44" s="23" t="inlineStr">
        <is>
          <t>Pending</t>
        </is>
      </c>
      <c r="N44" s="24" t="inlineStr"/>
      <c r="O44" s="23" t="inlineStr"/>
    </row>
    <row r="45" ht="16" customHeight="1" s="18">
      <c r="A45" s="25" t="inlineStr">
        <is>
          <t>cc30ace0f79e</t>
        </is>
      </c>
      <c r="B45" s="25" t="inlineStr">
        <is>
          <t>15/02/2026</t>
        </is>
      </c>
      <c r="C45" s="25" t="inlineStr">
        <is>
          <t>Junior Quantity Surveyor / Estimator - Civil Engineering</t>
        </is>
      </c>
      <c r="D45" s="25" t="inlineStr">
        <is>
          <t>Henley Chase Limited</t>
        </is>
      </c>
      <c r="E45" s="25" t="inlineStr">
        <is>
          <t>Addlestone, Surrey</t>
        </is>
      </c>
      <c r="F45" s="25" t="inlineStr">
        <is>
          <t>£30,000 – £50,000</t>
        </is>
      </c>
      <c r="G45" s="25" t="inlineStr">
        <is>
          <t>Adzuna UK</t>
        </is>
      </c>
      <c r="H45" s="21" t="inlineStr">
        <is>
          <t>CONFIRMED</t>
        </is>
      </c>
      <c r="I45" s="25" t="n">
        <v>60</v>
      </c>
      <c r="J45" s="26" t="inlineStr">
        <is>
          <t>Apply Here</t>
        </is>
      </c>
      <c r="K45" s="27" t="inlineStr"/>
      <c r="L45" s="27" t="inlineStr"/>
      <c r="M45" s="27" t="inlineStr">
        <is>
          <t>Pending</t>
        </is>
      </c>
      <c r="N45" s="28" t="inlineStr"/>
      <c r="O45" s="27" t="inlineStr"/>
    </row>
    <row r="46" ht="16" customHeight="1" s="18">
      <c r="A46" s="20" t="inlineStr">
        <is>
          <t>6f7789549243</t>
        </is>
      </c>
      <c r="B46" s="20" t="inlineStr">
        <is>
          <t>15/02/2026</t>
        </is>
      </c>
      <c r="C46" s="20" t="inlineStr">
        <is>
          <t>Drainage Design Engineer</t>
        </is>
      </c>
      <c r="D46" s="20" t="inlineStr">
        <is>
          <t>Pave Recruit</t>
        </is>
      </c>
      <c r="E46" s="20" t="inlineStr">
        <is>
          <t>Richmond, West London</t>
        </is>
      </c>
      <c r="F46" s="20" t="inlineStr">
        <is>
          <t>£38,000 – £44,000</t>
        </is>
      </c>
      <c r="G46" s="20" t="inlineStr">
        <is>
          <t>Adzuna UK</t>
        </is>
      </c>
      <c r="H46" s="21" t="inlineStr">
        <is>
          <t>CONFIRMED</t>
        </is>
      </c>
      <c r="I46" s="20" t="n">
        <v>55</v>
      </c>
      <c r="J46" s="22" t="inlineStr">
        <is>
          <t>Apply Here</t>
        </is>
      </c>
      <c r="K46" s="23" t="inlineStr"/>
      <c r="L46" s="23" t="inlineStr"/>
      <c r="M46" s="23" t="inlineStr">
        <is>
          <t>Pending</t>
        </is>
      </c>
      <c r="N46" s="24" t="inlineStr"/>
      <c r="O46" s="23" t="inlineStr"/>
    </row>
    <row r="47" ht="16" customHeight="1" s="18">
      <c r="A47" s="25" t="inlineStr">
        <is>
          <t>dfece6b6a788</t>
        </is>
      </c>
      <c r="B47" s="25" t="inlineStr">
        <is>
          <t>15/02/2026</t>
        </is>
      </c>
      <c r="C47" s="25" t="inlineStr">
        <is>
          <t>Senior Mechanical Engineer - Water</t>
        </is>
      </c>
      <c r="D47" s="25" t="inlineStr">
        <is>
          <t>AECOM</t>
        </is>
      </c>
      <c r="E47" s="25" t="inlineStr">
        <is>
          <t>St. Albans, Hertfordshire</t>
        </is>
      </c>
      <c r="F47" s="25" t="inlineStr">
        <is>
          <t>£45,822 – £45,822</t>
        </is>
      </c>
      <c r="G47" s="25" t="inlineStr">
        <is>
          <t>Adzuna UK</t>
        </is>
      </c>
      <c r="H47" s="21" t="inlineStr">
        <is>
          <t>CONFIRMED</t>
        </is>
      </c>
      <c r="I47" s="25" t="n">
        <v>55</v>
      </c>
      <c r="J47" s="26" t="inlineStr">
        <is>
          <t>Apply Here</t>
        </is>
      </c>
      <c r="K47" s="27" t="inlineStr"/>
      <c r="L47" s="27" t="inlineStr"/>
      <c r="M47" s="27" t="inlineStr">
        <is>
          <t>Pending</t>
        </is>
      </c>
      <c r="N47" s="28" t="inlineStr"/>
      <c r="O47" s="27" t="inlineStr"/>
    </row>
    <row r="48" ht="16" customHeight="1" s="18">
      <c r="A48" s="20" t="inlineStr">
        <is>
          <t>2f2bb9d9fd30</t>
        </is>
      </c>
      <c r="B48" s="20" t="inlineStr">
        <is>
          <t>15/02/2026</t>
        </is>
      </c>
      <c r="C48" s="20" t="inlineStr">
        <is>
          <t>Senior Mechanical Engineer - Water</t>
        </is>
      </c>
      <c r="D48" s="20" t="inlineStr">
        <is>
          <t>AECOM</t>
        </is>
      </c>
      <c r="E48" s="20" t="inlineStr">
        <is>
          <t>London, UK</t>
        </is>
      </c>
      <c r="F48" s="20" t="inlineStr">
        <is>
          <t>£47,172 – £47,172</t>
        </is>
      </c>
      <c r="G48" s="20" t="inlineStr">
        <is>
          <t>Adzuna UK</t>
        </is>
      </c>
      <c r="H48" s="21" t="inlineStr">
        <is>
          <t>CONFIRMED</t>
        </is>
      </c>
      <c r="I48" s="20" t="n">
        <v>55</v>
      </c>
      <c r="J48" s="22" t="inlineStr">
        <is>
          <t>Apply Here</t>
        </is>
      </c>
      <c r="K48" s="23" t="inlineStr"/>
      <c r="L48" s="23" t="inlineStr"/>
      <c r="M48" s="23" t="inlineStr">
        <is>
          <t>Pending</t>
        </is>
      </c>
      <c r="N48" s="24" t="inlineStr"/>
      <c r="O48" s="23" t="inlineStr"/>
    </row>
    <row r="49" ht="16" customHeight="1" s="18">
      <c r="A49" s="25" t="inlineStr">
        <is>
          <t>fc80e2186d44</t>
        </is>
      </c>
      <c r="B49" s="25" t="inlineStr">
        <is>
          <t>15/02/2026</t>
        </is>
      </c>
      <c r="C49" s="25" t="inlineStr">
        <is>
          <t>Senior Mechanical Engineer - Water</t>
        </is>
      </c>
      <c r="D49" s="25" t="inlineStr">
        <is>
          <t>AECOM</t>
        </is>
      </c>
      <c r="E49" s="25" t="inlineStr">
        <is>
          <t>Croydon, London</t>
        </is>
      </c>
      <c r="F49" s="25" t="inlineStr">
        <is>
          <t>£45,115 – £45,115</t>
        </is>
      </c>
      <c r="G49" s="25" t="inlineStr">
        <is>
          <t>Adzuna UK</t>
        </is>
      </c>
      <c r="H49" s="21" t="inlineStr">
        <is>
          <t>CONFIRMED</t>
        </is>
      </c>
      <c r="I49" s="25" t="n">
        <v>55</v>
      </c>
      <c r="J49" s="26" t="inlineStr">
        <is>
          <t>Apply Here</t>
        </is>
      </c>
      <c r="K49" s="27" t="inlineStr"/>
      <c r="L49" s="27" t="inlineStr"/>
      <c r="M49" s="27" t="inlineStr">
        <is>
          <t>Pending</t>
        </is>
      </c>
      <c r="N49" s="28" t="inlineStr"/>
      <c r="O49" s="27" t="inlineStr"/>
    </row>
    <row r="50" ht="16" customHeight="1" s="18">
      <c r="A50" s="20" t="inlineStr">
        <is>
          <t>52d7faad0dee</t>
        </is>
      </c>
      <c r="B50" s="20" t="inlineStr">
        <is>
          <t>15/02/2026</t>
        </is>
      </c>
      <c r="C50" s="20" t="inlineStr">
        <is>
          <t>Grow Your Career In The Water Sector - Expression of Interest</t>
        </is>
      </c>
      <c r="D50" s="20" t="inlineStr">
        <is>
          <t>AECOM</t>
        </is>
      </c>
      <c r="E50" s="20" t="inlineStr">
        <is>
          <t>St. Albans, Hertfordshire</t>
        </is>
      </c>
      <c r="F50" s="20" t="inlineStr">
        <is>
          <t>£45,523 – £45,523</t>
        </is>
      </c>
      <c r="G50" s="20" t="inlineStr">
        <is>
          <t>Adzuna UK</t>
        </is>
      </c>
      <c r="H50" s="21" t="inlineStr">
        <is>
          <t>CONFIRMED</t>
        </is>
      </c>
      <c r="I50" s="20" t="n">
        <v>55</v>
      </c>
      <c r="J50" s="22" t="inlineStr">
        <is>
          <t>Apply Here</t>
        </is>
      </c>
      <c r="K50" s="23" t="inlineStr"/>
      <c r="L50" s="23" t="inlineStr"/>
      <c r="M50" s="23" t="inlineStr">
        <is>
          <t>Pending</t>
        </is>
      </c>
      <c r="N50" s="24" t="inlineStr"/>
      <c r="O50" s="23" t="inlineStr"/>
    </row>
    <row r="51" ht="16" customHeight="1" s="18">
      <c r="A51" s="25" t="inlineStr">
        <is>
          <t>697a1f124224</t>
        </is>
      </c>
      <c r="B51" s="25" t="inlineStr">
        <is>
          <t>15/02/2026</t>
        </is>
      </c>
      <c r="C51" s="25" t="inlineStr">
        <is>
          <t>Grow Your Career In The Water Sector - Expression of Interest</t>
        </is>
      </c>
      <c r="D51" s="25" t="inlineStr">
        <is>
          <t>AECOM</t>
        </is>
      </c>
      <c r="E51" s="25" t="inlineStr">
        <is>
          <t>London, UK</t>
        </is>
      </c>
      <c r="F51" s="25" t="inlineStr">
        <is>
          <t>£46,865 – £46,865</t>
        </is>
      </c>
      <c r="G51" s="25" t="inlineStr">
        <is>
          <t>Adzuna UK</t>
        </is>
      </c>
      <c r="H51" s="21" t="inlineStr">
        <is>
          <t>CONFIRMED</t>
        </is>
      </c>
      <c r="I51" s="25" t="n">
        <v>55</v>
      </c>
      <c r="J51" s="26" t="inlineStr">
        <is>
          <t>Apply Here</t>
        </is>
      </c>
      <c r="K51" s="27" t="inlineStr"/>
      <c r="L51" s="27" t="inlineStr"/>
      <c r="M51" s="27" t="inlineStr">
        <is>
          <t>Pending</t>
        </is>
      </c>
      <c r="N51" s="28" t="inlineStr"/>
      <c r="O51" s="27" t="inlineStr"/>
    </row>
    <row r="52" ht="16" customHeight="1" s="18">
      <c r="A52" s="20" t="inlineStr">
        <is>
          <t>375ca6687a66</t>
        </is>
      </c>
      <c r="B52" s="20" t="inlineStr">
        <is>
          <t>15/02/2026</t>
        </is>
      </c>
      <c r="C52" s="20" t="inlineStr">
        <is>
          <t>Grow Your Career In The Water Sector - Expression of Interest</t>
        </is>
      </c>
      <c r="D52" s="20" t="inlineStr">
        <is>
          <t>AECOM</t>
        </is>
      </c>
      <c r="E52" s="20" t="inlineStr">
        <is>
          <t>Croydon, London</t>
        </is>
      </c>
      <c r="F52" s="20" t="inlineStr">
        <is>
          <t>£44,821 – £44,821</t>
        </is>
      </c>
      <c r="G52" s="20" t="inlineStr">
        <is>
          <t>Adzuna UK</t>
        </is>
      </c>
      <c r="H52" s="21" t="inlineStr">
        <is>
          <t>CONFIRMED</t>
        </is>
      </c>
      <c r="I52" s="20" t="n">
        <v>55</v>
      </c>
      <c r="J52" s="22" t="inlineStr">
        <is>
          <t>Apply Here</t>
        </is>
      </c>
      <c r="K52" s="23" t="inlineStr"/>
      <c r="L52" s="23" t="inlineStr"/>
      <c r="M52" s="23" t="inlineStr">
        <is>
          <t>Pending</t>
        </is>
      </c>
      <c r="N52" s="24" t="inlineStr"/>
      <c r="O52" s="23" t="inlineStr"/>
    </row>
    <row r="53" ht="16" customHeight="1" s="18">
      <c r="A53" s="25" t="inlineStr">
        <is>
          <t>36cef26b3177</t>
        </is>
      </c>
      <c r="B53" s="25" t="inlineStr">
        <is>
          <t>15/02/2026</t>
        </is>
      </c>
      <c r="C53" s="25" t="inlineStr">
        <is>
          <t>Water &amp; Wastewater Sales Engineer - South UK Infrastructure</t>
        </is>
      </c>
      <c r="D53" s="25" t="inlineStr">
        <is>
          <t>Victaulic</t>
        </is>
      </c>
      <c r="E53" s="25" t="inlineStr">
        <is>
          <t>London, UK</t>
        </is>
      </c>
      <c r="F53" s="25" t="inlineStr">
        <is>
          <t>£51,376 – £51,376</t>
        </is>
      </c>
      <c r="G53" s="25" t="inlineStr">
        <is>
          <t>Adzuna UK</t>
        </is>
      </c>
      <c r="H53" s="21" t="inlineStr">
        <is>
          <t>CONFIRMED</t>
        </is>
      </c>
      <c r="I53" s="25" t="n">
        <v>55</v>
      </c>
      <c r="J53" s="26" t="inlineStr">
        <is>
          <t>Apply Here</t>
        </is>
      </c>
      <c r="K53" s="27" t="inlineStr"/>
      <c r="L53" s="27" t="inlineStr"/>
      <c r="M53" s="27" t="inlineStr">
        <is>
          <t>Pending</t>
        </is>
      </c>
      <c r="N53" s="28" t="inlineStr"/>
      <c r="O53" s="27" t="inlineStr"/>
    </row>
    <row r="54" ht="16" customHeight="1" s="18">
      <c r="A54" s="20" t="inlineStr">
        <is>
          <t>1868dd8b22f1</t>
        </is>
      </c>
      <c r="B54" s="20" t="inlineStr">
        <is>
          <t>15/02/2026</t>
        </is>
      </c>
      <c r="C54" s="20" t="inlineStr">
        <is>
          <t>Senior Clean Water Process Engineer</t>
        </is>
      </c>
      <c r="D54" s="20" t="inlineStr">
        <is>
          <t>Manpower UK Ltd</t>
        </is>
      </c>
      <c r="E54" s="20" t="inlineStr">
        <is>
          <t>Farringdon, Central London</t>
        </is>
      </c>
      <c r="F54" s="20" t="inlineStr">
        <is>
          <t>£50,810 – £50,810</t>
        </is>
      </c>
      <c r="G54" s="20" t="inlineStr">
        <is>
          <t>Adzuna UK</t>
        </is>
      </c>
      <c r="H54" s="21" t="inlineStr">
        <is>
          <t>CONFIRMED</t>
        </is>
      </c>
      <c r="I54" s="20" t="n">
        <v>55</v>
      </c>
      <c r="J54" s="22" t="inlineStr">
        <is>
          <t>Apply Here</t>
        </is>
      </c>
      <c r="K54" s="23" t="inlineStr"/>
      <c r="L54" s="23" t="inlineStr"/>
      <c r="M54" s="23" t="inlineStr">
        <is>
          <t>Pending</t>
        </is>
      </c>
      <c r="N54" s="24" t="inlineStr"/>
      <c r="O54" s="23" t="inlineStr"/>
    </row>
    <row r="55" ht="16" customHeight="1" s="18">
      <c r="A55" s="25" t="inlineStr">
        <is>
          <t>75d777dccb91</t>
        </is>
      </c>
      <c r="B55" s="25" t="inlineStr">
        <is>
          <t>15/02/2026</t>
        </is>
      </c>
      <c r="C55" s="25" t="inlineStr">
        <is>
          <t>Assistant Engineer - Clean Water Modelling</t>
        </is>
      </c>
      <c r="D55" s="25" t="inlineStr">
        <is>
          <t>WSP</t>
        </is>
      </c>
      <c r="E55" s="25" t="inlineStr">
        <is>
          <t>Aldwych, Central London</t>
        </is>
      </c>
      <c r="F55" s="25" t="inlineStr">
        <is>
          <t>£45,719 – £45,719</t>
        </is>
      </c>
      <c r="G55" s="25" t="inlineStr">
        <is>
          <t>Adzuna UK</t>
        </is>
      </c>
      <c r="H55" s="21" t="inlineStr">
        <is>
          <t>CONFIRMED</t>
        </is>
      </c>
      <c r="I55" s="25" t="n">
        <v>55</v>
      </c>
      <c r="J55" s="26" t="inlineStr">
        <is>
          <t>Apply Here</t>
        </is>
      </c>
      <c r="K55" s="27" t="inlineStr"/>
      <c r="L55" s="27" t="inlineStr"/>
      <c r="M55" s="27" t="inlineStr">
        <is>
          <t>Pending</t>
        </is>
      </c>
      <c r="N55" s="28" t="inlineStr"/>
      <c r="O55" s="27" t="inlineStr"/>
    </row>
    <row r="56" ht="16" customHeight="1" s="18">
      <c r="A56" s="20" t="inlineStr">
        <is>
          <t>d89f2477442a</t>
        </is>
      </c>
      <c r="B56" s="20" t="inlineStr">
        <is>
          <t>15/02/2026</t>
        </is>
      </c>
      <c r="C56" s="20" t="inlineStr">
        <is>
          <t>Drainage Design Engineer</t>
        </is>
      </c>
      <c r="D56" s="20" t="inlineStr">
        <is>
          <t>Pave Recruit</t>
        </is>
      </c>
      <c r="E56" s="20" t="inlineStr">
        <is>
          <t>Richmond, West London</t>
        </is>
      </c>
      <c r="F56" s="20" t="inlineStr">
        <is>
          <t>£38,000 – £44,000</t>
        </is>
      </c>
      <c r="G56" s="20" t="inlineStr">
        <is>
          <t>Adzuna UK</t>
        </is>
      </c>
      <c r="H56" s="21" t="inlineStr">
        <is>
          <t>CONFIRMED</t>
        </is>
      </c>
      <c r="I56" s="20" t="n">
        <v>55</v>
      </c>
      <c r="J56" s="22" t="inlineStr">
        <is>
          <t>Apply Here</t>
        </is>
      </c>
      <c r="K56" s="23" t="inlineStr"/>
      <c r="L56" s="23" t="inlineStr"/>
      <c r="M56" s="23" t="inlineStr">
        <is>
          <t>Pending</t>
        </is>
      </c>
      <c r="N56" s="24" t="inlineStr"/>
      <c r="O56" s="23" t="inlineStr"/>
    </row>
    <row r="57" ht="16" customHeight="1" s="18">
      <c r="A57" s="25" t="inlineStr">
        <is>
          <t>0cbcac4a86b9</t>
        </is>
      </c>
      <c r="B57" s="25" t="inlineStr">
        <is>
          <t>15/02/2026</t>
        </is>
      </c>
      <c r="C57" s="25" t="inlineStr">
        <is>
          <t>Pollution Response Technician</t>
        </is>
      </c>
      <c r="D57" s="25" t="inlineStr">
        <is>
          <t>Lanes Group</t>
        </is>
      </c>
      <c r="E57" s="25" t="inlineStr">
        <is>
          <t>Tudeley, Tonbridge</t>
        </is>
      </c>
      <c r="F57" s="25" t="inlineStr">
        <is>
          <t>£54,416 – £54,416</t>
        </is>
      </c>
      <c r="G57" s="25" t="inlineStr">
        <is>
          <t>Adzuna UK</t>
        </is>
      </c>
      <c r="H57" s="21" t="inlineStr">
        <is>
          <t>CONFIRMED</t>
        </is>
      </c>
      <c r="I57" s="25" t="n">
        <v>55</v>
      </c>
      <c r="J57" s="26" t="inlineStr">
        <is>
          <t>Apply Here</t>
        </is>
      </c>
      <c r="K57" s="27" t="inlineStr"/>
      <c r="L57" s="27" t="inlineStr"/>
      <c r="M57" s="27" t="inlineStr">
        <is>
          <t>Pending</t>
        </is>
      </c>
      <c r="N57" s="28" t="inlineStr"/>
      <c r="O57" s="27" t="inlineStr"/>
    </row>
    <row r="58" ht="16" customHeight="1" s="18">
      <c r="A58" s="20" t="inlineStr">
        <is>
          <t>296cf959bd9d</t>
        </is>
      </c>
      <c r="B58" s="20" t="inlineStr">
        <is>
          <t>15/02/2026</t>
        </is>
      </c>
      <c r="C58" s="20" t="inlineStr">
        <is>
          <t>Drainage Operations Manager</t>
        </is>
      </c>
      <c r="D58" s="20" t="inlineStr">
        <is>
          <t>Vector Recruitment</t>
        </is>
      </c>
      <c r="E58" s="20" t="inlineStr">
        <is>
          <t>Essex, Eastern England</t>
        </is>
      </c>
      <c r="F58" s="20" t="inlineStr">
        <is>
          <t>£50,000 – £55,000</t>
        </is>
      </c>
      <c r="G58" s="20" t="inlineStr">
        <is>
          <t>Adzuna UK</t>
        </is>
      </c>
      <c r="H58" s="21" t="inlineStr">
        <is>
          <t>CONFIRMED</t>
        </is>
      </c>
      <c r="I58" s="20" t="n">
        <v>55</v>
      </c>
      <c r="J58" s="22" t="inlineStr">
        <is>
          <t>Apply Here</t>
        </is>
      </c>
      <c r="K58" s="23" t="inlineStr"/>
      <c r="L58" s="23" t="inlineStr"/>
      <c r="M58" s="23" t="inlineStr">
        <is>
          <t>Pending</t>
        </is>
      </c>
      <c r="N58" s="24" t="inlineStr"/>
      <c r="O58" s="23" t="inlineStr"/>
    </row>
    <row r="59" ht="16" customHeight="1" s="18">
      <c r="A59" s="25" t="inlineStr">
        <is>
          <t>3fe9e9bb4a7a</t>
        </is>
      </c>
      <c r="B59" s="25" t="inlineStr">
        <is>
          <t>15/02/2026</t>
        </is>
      </c>
      <c r="C59" s="25" t="inlineStr">
        <is>
          <t>Senior Quantity Surveyor</t>
        </is>
      </c>
      <c r="D59" s="25" t="inlineStr">
        <is>
          <t>Intersect Global Ltd</t>
        </is>
      </c>
      <c r="E59" s="25" t="inlineStr">
        <is>
          <t>Aylesbury, Buckinghamshire</t>
        </is>
      </c>
      <c r="F59" s="25" t="inlineStr">
        <is>
          <t>£9,100 – £117,000</t>
        </is>
      </c>
      <c r="G59" s="25" t="inlineStr">
        <is>
          <t>Adzuna UK</t>
        </is>
      </c>
      <c r="H59" s="21" t="inlineStr">
        <is>
          <t>CONFIRMED</t>
        </is>
      </c>
      <c r="I59" s="25" t="n">
        <v>55</v>
      </c>
      <c r="J59" s="26" t="inlineStr">
        <is>
          <t>Apply Here</t>
        </is>
      </c>
      <c r="K59" s="27" t="inlineStr"/>
      <c r="L59" s="27" t="inlineStr"/>
      <c r="M59" s="27" t="inlineStr">
        <is>
          <t>Pending</t>
        </is>
      </c>
      <c r="N59" s="28" t="inlineStr"/>
      <c r="O59" s="27" t="inlineStr"/>
    </row>
    <row r="60" ht="16" customHeight="1" s="18">
      <c r="A60" s="20" t="inlineStr">
        <is>
          <t>6942548a1bb3</t>
        </is>
      </c>
      <c r="B60" s="20" t="inlineStr">
        <is>
          <t>15/02/2026</t>
        </is>
      </c>
      <c r="C60" s="20" t="inlineStr">
        <is>
          <t>Senior Civil Engineer</t>
        </is>
      </c>
      <c r="D60" s="20" t="inlineStr">
        <is>
          <t>Mott MacDonald</t>
        </is>
      </c>
      <c r="E60" s="20" t="inlineStr">
        <is>
          <t>London, UK</t>
        </is>
      </c>
      <c r="F60" s="20" t="inlineStr">
        <is>
          <t>£51,904 – £51,904</t>
        </is>
      </c>
      <c r="G60" s="20" t="inlineStr">
        <is>
          <t>Adzuna UK</t>
        </is>
      </c>
      <c r="H60" s="21" t="inlineStr">
        <is>
          <t>CONFIRMED</t>
        </is>
      </c>
      <c r="I60" s="20" t="n">
        <v>50</v>
      </c>
      <c r="J60" s="22" t="inlineStr">
        <is>
          <t>Apply Here</t>
        </is>
      </c>
      <c r="K60" s="23" t="inlineStr"/>
      <c r="L60" s="23" t="inlineStr"/>
      <c r="M60" s="23" t="inlineStr">
        <is>
          <t>Pending</t>
        </is>
      </c>
      <c r="N60" s="24" t="inlineStr"/>
      <c r="O60" s="23" t="inlineStr"/>
    </row>
    <row r="61" ht="16" customHeight="1" s="18">
      <c r="A61" s="25" t="inlineStr">
        <is>
          <t>c788a5f85f8d</t>
        </is>
      </c>
      <c r="B61" s="25" t="inlineStr">
        <is>
          <t>15/02/2026</t>
        </is>
      </c>
      <c r="C61" s="25" t="inlineStr">
        <is>
          <t>Electrical Engineer</t>
        </is>
      </c>
      <c r="D61" s="25" t="inlineStr">
        <is>
          <t>Mott MacDonald</t>
        </is>
      </c>
      <c r="E61" s="25" t="inlineStr">
        <is>
          <t>Caversham, Reading</t>
        </is>
      </c>
      <c r="F61" s="25" t="inlineStr">
        <is>
          <t>£45,633 – £45,633</t>
        </is>
      </c>
      <c r="G61" s="25" t="inlineStr">
        <is>
          <t>Adzuna UK</t>
        </is>
      </c>
      <c r="H61" s="21" t="inlineStr">
        <is>
          <t>CONFIRMED</t>
        </is>
      </c>
      <c r="I61" s="25" t="n">
        <v>50</v>
      </c>
      <c r="J61" s="26" t="inlineStr">
        <is>
          <t>Apply Here</t>
        </is>
      </c>
      <c r="K61" s="27" t="inlineStr"/>
      <c r="L61" s="27" t="inlineStr"/>
      <c r="M61" s="27" t="inlineStr">
        <is>
          <t>Pending</t>
        </is>
      </c>
      <c r="N61" s="28" t="inlineStr"/>
      <c r="O61" s="27" t="inlineStr"/>
    </row>
    <row r="62" ht="16" customHeight="1" s="18">
      <c r="A62" s="20" t="inlineStr">
        <is>
          <t>94d862510980</t>
        </is>
      </c>
      <c r="B62" s="20" t="inlineStr">
        <is>
          <t>15/02/2026</t>
        </is>
      </c>
      <c r="C62" s="20" t="inlineStr">
        <is>
          <t>Electrical Project/Design Engineer</t>
        </is>
      </c>
      <c r="D62" s="20" t="inlineStr">
        <is>
          <t>Matchtech</t>
        </is>
      </c>
      <c r="E62" s="20" t="inlineStr">
        <is>
          <t>Farringdon, Central London</t>
        </is>
      </c>
      <c r="F62" s="20" t="inlineStr">
        <is>
          <t>£40,000 – £50,000</t>
        </is>
      </c>
      <c r="G62" s="20" t="inlineStr">
        <is>
          <t>Adzuna UK</t>
        </is>
      </c>
      <c r="H62" s="21" t="inlineStr">
        <is>
          <t>CONFIRMED</t>
        </is>
      </c>
      <c r="I62" s="20" t="n">
        <v>50</v>
      </c>
      <c r="J62" s="22" t="inlineStr">
        <is>
          <t>Apply Here</t>
        </is>
      </c>
      <c r="K62" s="23" t="inlineStr"/>
      <c r="L62" s="23" t="inlineStr"/>
      <c r="M62" s="23" t="inlineStr">
        <is>
          <t>Pending</t>
        </is>
      </c>
      <c r="N62" s="24" t="inlineStr"/>
      <c r="O62" s="23" t="inlineStr"/>
    </row>
    <row r="63" ht="16" customHeight="1" s="18">
      <c r="A63" s="25" t="inlineStr">
        <is>
          <t>1bea2c6ce4b6</t>
        </is>
      </c>
      <c r="B63" s="25" t="inlineStr">
        <is>
          <t>15/02/2026</t>
        </is>
      </c>
      <c r="C63" s="25" t="inlineStr">
        <is>
          <t>Civil Engineer Project Leader</t>
        </is>
      </c>
      <c r="D63" s="25" t="inlineStr">
        <is>
          <t>Mott MacDonald</t>
        </is>
      </c>
      <c r="E63" s="25" t="inlineStr">
        <is>
          <t>Caversham, Reading</t>
        </is>
      </c>
      <c r="F63" s="25" t="inlineStr">
        <is>
          <t>£48,165 – £48,165</t>
        </is>
      </c>
      <c r="G63" s="25" t="inlineStr">
        <is>
          <t>Adzuna UK</t>
        </is>
      </c>
      <c r="H63" s="21" t="inlineStr">
        <is>
          <t>CONFIRMED</t>
        </is>
      </c>
      <c r="I63" s="25" t="n">
        <v>50</v>
      </c>
      <c r="J63" s="26" t="inlineStr">
        <is>
          <t>Apply Here</t>
        </is>
      </c>
      <c r="K63" s="27" t="inlineStr"/>
      <c r="L63" s="27" t="inlineStr"/>
      <c r="M63" s="27" t="inlineStr">
        <is>
          <t>Pending</t>
        </is>
      </c>
      <c r="N63" s="28" t="inlineStr"/>
      <c r="O63" s="27" t="inlineStr"/>
    </row>
    <row r="64" ht="16" customHeight="1" s="18">
      <c r="A64" s="20" t="inlineStr">
        <is>
          <t>6e3afb8320ae</t>
        </is>
      </c>
      <c r="B64" s="20" t="inlineStr">
        <is>
          <t>15/02/2026</t>
        </is>
      </c>
      <c r="C64" s="20" t="inlineStr">
        <is>
          <t>Civil Engineer (Hybrid)</t>
        </is>
      </c>
      <c r="D64" s="20" t="inlineStr">
        <is>
          <t>Ernest Gordon Recruitment</t>
        </is>
      </c>
      <c r="E64" s="20" t="inlineStr">
        <is>
          <t>Slough, Berkshire</t>
        </is>
      </c>
      <c r="F64" s="20" t="inlineStr">
        <is>
          <t>£55,000 – £55,000</t>
        </is>
      </c>
      <c r="G64" s="20" t="inlineStr">
        <is>
          <t>Adzuna UK</t>
        </is>
      </c>
      <c r="H64" s="21" t="inlineStr">
        <is>
          <t>CONFIRMED</t>
        </is>
      </c>
      <c r="I64" s="20" t="n">
        <v>50</v>
      </c>
      <c r="J64" s="22" t="inlineStr">
        <is>
          <t>Apply Here</t>
        </is>
      </c>
      <c r="K64" s="23" t="inlineStr"/>
      <c r="L64" s="23" t="inlineStr"/>
      <c r="M64" s="23" t="inlineStr">
        <is>
          <t>Pending</t>
        </is>
      </c>
      <c r="N64" s="24" t="inlineStr"/>
      <c r="O64" s="23" t="inlineStr"/>
    </row>
    <row r="65" ht="16" customHeight="1" s="18">
      <c r="A65" s="25" t="inlineStr">
        <is>
          <t>47af7f488d90</t>
        </is>
      </c>
      <c r="B65" s="25" t="inlineStr">
        <is>
          <t>15/02/2026</t>
        </is>
      </c>
      <c r="C65" s="25" t="inlineStr">
        <is>
          <t>Civil Engineer Hybrid</t>
        </is>
      </c>
      <c r="D65" s="25" t="inlineStr">
        <is>
          <t>Ernest Gordon Recruitment Limited</t>
        </is>
      </c>
      <c r="E65" s="25" t="inlineStr">
        <is>
          <t>Slough, Berkshire</t>
        </is>
      </c>
      <c r="F65" s="25" t="inlineStr">
        <is>
          <t>£45,000 – £55,000</t>
        </is>
      </c>
      <c r="G65" s="25" t="inlineStr">
        <is>
          <t>Adzuna UK</t>
        </is>
      </c>
      <c r="H65" s="21" t="inlineStr">
        <is>
          <t>CONFIRMED</t>
        </is>
      </c>
      <c r="I65" s="25" t="n">
        <v>50</v>
      </c>
      <c r="J65" s="26" t="inlineStr">
        <is>
          <t>Apply Here</t>
        </is>
      </c>
      <c r="K65" s="27" t="inlineStr"/>
      <c r="L65" s="27" t="inlineStr"/>
      <c r="M65" s="27" t="inlineStr">
        <is>
          <t>Pending</t>
        </is>
      </c>
      <c r="N65" s="28" t="inlineStr"/>
      <c r="O65" s="27" t="inlineStr"/>
    </row>
    <row r="66" ht="16" customHeight="1" s="18">
      <c r="A66" s="20" t="inlineStr">
        <is>
          <t>70710063f3c2</t>
        </is>
      </c>
      <c r="B66" s="20" t="inlineStr">
        <is>
          <t>15/02/2026</t>
        </is>
      </c>
      <c r="C66" s="20" t="inlineStr">
        <is>
          <t>Civil Engineer (Water industry)</t>
        </is>
      </c>
      <c r="D66" s="20" t="inlineStr">
        <is>
          <t>Ernest Gordon Recruitment</t>
        </is>
      </c>
      <c r="E66" s="20" t="inlineStr">
        <is>
          <t>Slough, Berkshire</t>
        </is>
      </c>
      <c r="F66" s="20" t="inlineStr">
        <is>
          <t>£55,000 – £55,000</t>
        </is>
      </c>
      <c r="G66" s="20" t="inlineStr">
        <is>
          <t>Adzuna UK</t>
        </is>
      </c>
      <c r="H66" s="21" t="inlineStr">
        <is>
          <t>CONFIRMED</t>
        </is>
      </c>
      <c r="I66" s="20" t="n">
        <v>50</v>
      </c>
      <c r="J66" s="22" t="inlineStr">
        <is>
          <t>Apply Here</t>
        </is>
      </c>
      <c r="K66" s="23" t="inlineStr"/>
      <c r="L66" s="23" t="inlineStr"/>
      <c r="M66" s="23" t="inlineStr">
        <is>
          <t>Pending</t>
        </is>
      </c>
      <c r="N66" s="24" t="inlineStr"/>
      <c r="O66" s="23" t="inlineStr"/>
    </row>
    <row r="67" ht="16" customHeight="1" s="18">
      <c r="A67" s="25" t="inlineStr">
        <is>
          <t>65e21941473e</t>
        </is>
      </c>
      <c r="B67" s="25" t="inlineStr">
        <is>
          <t>15/02/2026</t>
        </is>
      </c>
      <c r="C67" s="25" t="inlineStr">
        <is>
          <t>Civil Engineer Water industry</t>
        </is>
      </c>
      <c r="D67" s="25" t="inlineStr">
        <is>
          <t>Ernest Gordon Recruitment Limited</t>
        </is>
      </c>
      <c r="E67" s="25" t="inlineStr">
        <is>
          <t>Slough, Berkshire</t>
        </is>
      </c>
      <c r="F67" s="25" t="inlineStr">
        <is>
          <t>£45,000 – £55,000</t>
        </is>
      </c>
      <c r="G67" s="25" t="inlineStr">
        <is>
          <t>Adzuna UK</t>
        </is>
      </c>
      <c r="H67" s="21" t="inlineStr">
        <is>
          <t>CONFIRMED</t>
        </is>
      </c>
      <c r="I67" s="25" t="n">
        <v>50</v>
      </c>
      <c r="J67" s="26" t="inlineStr">
        <is>
          <t>Apply Here</t>
        </is>
      </c>
      <c r="K67" s="27" t="inlineStr"/>
      <c r="L67" s="27" t="inlineStr"/>
      <c r="M67" s="27" t="inlineStr">
        <is>
          <t>Pending</t>
        </is>
      </c>
      <c r="N67" s="28" t="inlineStr"/>
      <c r="O67" s="27" t="inlineStr"/>
    </row>
    <row r="68" ht="16" customHeight="1" s="18">
      <c r="A68" s="20" t="inlineStr">
        <is>
          <t>3cc76a590309</t>
        </is>
      </c>
      <c r="B68" s="20" t="inlineStr">
        <is>
          <t>15/02/2026</t>
        </is>
      </c>
      <c r="C68" s="20" t="inlineStr">
        <is>
          <t>Drainage Engineer</t>
        </is>
      </c>
      <c r="D68" s="20" t="inlineStr">
        <is>
          <t>CHARTWELL</t>
        </is>
      </c>
      <c r="E68" s="20" t="inlineStr">
        <is>
          <t>Chatham, Kent</t>
        </is>
      </c>
      <c r="F68" s="20" t="inlineStr">
        <is>
          <t>£45,000 – £45,000</t>
        </is>
      </c>
      <c r="G68" s="20" t="inlineStr">
        <is>
          <t>Adzuna UK</t>
        </is>
      </c>
      <c r="H68" s="21" t="inlineStr">
        <is>
          <t>CONFIRMED</t>
        </is>
      </c>
      <c r="I68" s="20" t="n">
        <v>70</v>
      </c>
      <c r="J68" s="22" t="inlineStr">
        <is>
          <t>Apply Here</t>
        </is>
      </c>
      <c r="K68" s="23" t="inlineStr"/>
      <c r="L68" s="23" t="inlineStr"/>
      <c r="M68" s="23" t="inlineStr">
        <is>
          <t>Pending</t>
        </is>
      </c>
      <c r="N68" s="24" t="inlineStr"/>
      <c r="O68" s="23" t="inlineStr"/>
    </row>
    <row r="69" ht="16" customHeight="1" s="18">
      <c r="A69" s="25" t="inlineStr">
        <is>
          <t>e10f2dece6c9</t>
        </is>
      </c>
      <c r="B69" s="25" t="inlineStr">
        <is>
          <t>15/02/2026</t>
        </is>
      </c>
      <c r="C69" s="25" t="inlineStr">
        <is>
          <t>Drainage Engineer</t>
        </is>
      </c>
      <c r="D69" s="25" t="inlineStr">
        <is>
          <t>Reed</t>
        </is>
      </c>
      <c r="E69" s="25" t="inlineStr">
        <is>
          <t>London, UK</t>
        </is>
      </c>
      <c r="F69" s="25" t="inlineStr">
        <is>
          <t>£40,000 – £50,000</t>
        </is>
      </c>
      <c r="G69" s="25" t="inlineStr">
        <is>
          <t>Adzuna UK</t>
        </is>
      </c>
      <c r="H69" s="21" t="inlineStr">
        <is>
          <t>CONFIRMED</t>
        </is>
      </c>
      <c r="I69" s="25" t="n">
        <v>70</v>
      </c>
      <c r="J69" s="26" t="inlineStr">
        <is>
          <t>Apply Here</t>
        </is>
      </c>
      <c r="K69" s="27" t="inlineStr"/>
      <c r="L69" s="27" t="inlineStr"/>
      <c r="M69" s="27" t="inlineStr">
        <is>
          <t>Pending</t>
        </is>
      </c>
      <c r="N69" s="28" t="inlineStr"/>
      <c r="O69" s="27" t="inlineStr"/>
    </row>
    <row r="70" ht="16" customHeight="1" s="18">
      <c r="A70" s="20" t="inlineStr">
        <is>
          <t>a53e7816643f</t>
        </is>
      </c>
      <c r="B70" s="20" t="inlineStr">
        <is>
          <t>15/02/2026</t>
        </is>
      </c>
      <c r="C70" s="20" t="inlineStr">
        <is>
          <t>Civil Infrastructure Engineer</t>
        </is>
      </c>
      <c r="D70" s="20" t="inlineStr">
        <is>
          <t>Zodiac Recruitment</t>
        </is>
      </c>
      <c r="E70" s="20" t="inlineStr">
        <is>
          <t>Stone Cross, Crowborough</t>
        </is>
      </c>
      <c r="F70" s="20" t="inlineStr">
        <is>
          <t>£32,000 – £44,000</t>
        </is>
      </c>
      <c r="G70" s="20" t="inlineStr">
        <is>
          <t>Adzuna UK</t>
        </is>
      </c>
      <c r="H70" s="21" t="inlineStr">
        <is>
          <t>CONFIRMED</t>
        </is>
      </c>
      <c r="I70" s="20" t="n">
        <v>70</v>
      </c>
      <c r="J70" s="22" t="inlineStr">
        <is>
          <t>Apply Here</t>
        </is>
      </c>
      <c r="K70" s="23" t="inlineStr"/>
      <c r="L70" s="23" t="inlineStr"/>
      <c r="M70" s="23" t="inlineStr">
        <is>
          <t>Pending</t>
        </is>
      </c>
      <c r="N70" s="24" t="inlineStr"/>
      <c r="O70" s="23" t="inlineStr"/>
    </row>
    <row r="71" ht="16" customHeight="1" s="18">
      <c r="A71" s="25" t="inlineStr">
        <is>
          <t>5e80718f8434</t>
        </is>
      </c>
      <c r="B71" s="25" t="inlineStr">
        <is>
          <t>15/02/2026</t>
        </is>
      </c>
      <c r="C71" s="25" t="inlineStr">
        <is>
          <t>Drainage Engineer</t>
        </is>
      </c>
      <c r="D71" s="25" t="inlineStr">
        <is>
          <t>Ernest Gordon Recruitment</t>
        </is>
      </c>
      <c r="E71" s="25" t="inlineStr">
        <is>
          <t>South Croydon, South East London</t>
        </is>
      </c>
      <c r="F71" s="25" t="inlineStr">
        <is>
          <t>£45,000 – £45,000</t>
        </is>
      </c>
      <c r="G71" s="25" t="inlineStr">
        <is>
          <t>Adzuna UK</t>
        </is>
      </c>
      <c r="H71" s="21" t="inlineStr">
        <is>
          <t>CONFIRMED</t>
        </is>
      </c>
      <c r="I71" s="25" t="n">
        <v>70</v>
      </c>
      <c r="J71" s="26" t="inlineStr">
        <is>
          <t>Apply Here</t>
        </is>
      </c>
      <c r="K71" s="27" t="inlineStr"/>
      <c r="L71" s="27" t="inlineStr"/>
      <c r="M71" s="27" t="inlineStr">
        <is>
          <t>Pending</t>
        </is>
      </c>
      <c r="N71" s="28" t="inlineStr"/>
      <c r="O71" s="27" t="inlineStr"/>
    </row>
    <row r="72" ht="16" customHeight="1" s="18">
      <c r="A72" s="20" t="inlineStr">
        <is>
          <t>b2bb64cff677</t>
        </is>
      </c>
      <c r="B72" s="20" t="inlineStr">
        <is>
          <t>15/02/2026</t>
        </is>
      </c>
      <c r="C72" s="20" t="inlineStr">
        <is>
          <t>Drainage Engineer</t>
        </is>
      </c>
      <c r="D72" s="20" t="inlineStr">
        <is>
          <t>Ernest Gordon Recruitment Limited</t>
        </is>
      </c>
      <c r="E72" s="20" t="inlineStr">
        <is>
          <t>South Croydon, South East London</t>
        </is>
      </c>
      <c r="F72" s="20" t="inlineStr">
        <is>
          <t>£35,000 – £45,000</t>
        </is>
      </c>
      <c r="G72" s="20" t="inlineStr">
        <is>
          <t>Adzuna UK</t>
        </is>
      </c>
      <c r="H72" s="21" t="inlineStr">
        <is>
          <t>CONFIRMED</t>
        </is>
      </c>
      <c r="I72" s="20" t="n">
        <v>70</v>
      </c>
      <c r="J72" s="22" t="inlineStr">
        <is>
          <t>Apply Here</t>
        </is>
      </c>
      <c r="K72" s="23" t="inlineStr"/>
      <c r="L72" s="23" t="inlineStr"/>
      <c r="M72" s="23" t="inlineStr">
        <is>
          <t>Pending</t>
        </is>
      </c>
      <c r="N72" s="24" t="inlineStr"/>
      <c r="O72" s="23" t="inlineStr"/>
    </row>
    <row r="73" ht="16" customHeight="1" s="18">
      <c r="A73" s="25" t="inlineStr">
        <is>
          <t>21e8b262812c</t>
        </is>
      </c>
      <c r="B73" s="25" t="inlineStr">
        <is>
          <t>15/02/2026</t>
        </is>
      </c>
      <c r="C73" s="25" t="inlineStr">
        <is>
          <t>Drainage Engineer</t>
        </is>
      </c>
      <c r="D73" s="25" t="inlineStr">
        <is>
          <t>Ernest Gordon Recruitment Limited</t>
        </is>
      </c>
      <c r="E73" s="25" t="inlineStr">
        <is>
          <t>Croydon, London</t>
        </is>
      </c>
      <c r="F73" s="25" t="inlineStr">
        <is>
          <t>£35,000 – £45,000</t>
        </is>
      </c>
      <c r="G73" s="25" t="inlineStr">
        <is>
          <t>Adzuna UK</t>
        </is>
      </c>
      <c r="H73" s="21" t="inlineStr">
        <is>
          <t>CONFIRMED</t>
        </is>
      </c>
      <c r="I73" s="25" t="n">
        <v>70</v>
      </c>
      <c r="J73" s="26" t="inlineStr">
        <is>
          <t>Apply Here</t>
        </is>
      </c>
      <c r="K73" s="27" t="inlineStr"/>
      <c r="L73" s="27" t="inlineStr"/>
      <c r="M73" s="27" t="inlineStr">
        <is>
          <t>Pending</t>
        </is>
      </c>
      <c r="N73" s="28" t="inlineStr"/>
      <c r="O73" s="27" t="inlineStr"/>
    </row>
    <row r="74" ht="16" customHeight="1" s="18">
      <c r="A74" s="20" t="inlineStr">
        <is>
          <t>082ff5987df9</t>
        </is>
      </c>
      <c r="B74" s="20" t="inlineStr">
        <is>
          <t>15/02/2026</t>
        </is>
      </c>
      <c r="C74" s="20" t="inlineStr">
        <is>
          <t>Mechanical Design Engineer - Water</t>
        </is>
      </c>
      <c r="D74" s="20" t="inlineStr">
        <is>
          <t>SSA Recruitment</t>
        </is>
      </c>
      <c r="E74" s="20" t="inlineStr">
        <is>
          <t>West Hampstead, North West London</t>
        </is>
      </c>
      <c r="F74" s="20" t="inlineStr">
        <is>
          <t>£55,000 – £65,000</t>
        </is>
      </c>
      <c r="G74" s="20" t="inlineStr">
        <is>
          <t>Adzuna UK</t>
        </is>
      </c>
      <c r="H74" s="21" t="inlineStr">
        <is>
          <t>CONFIRMED</t>
        </is>
      </c>
      <c r="I74" s="20" t="n">
        <v>65</v>
      </c>
      <c r="J74" s="22" t="inlineStr">
        <is>
          <t>Apply Here</t>
        </is>
      </c>
      <c r="K74" s="23" t="inlineStr"/>
      <c r="L74" s="23" t="inlineStr"/>
      <c r="M74" s="23" t="inlineStr">
        <is>
          <t>Pending</t>
        </is>
      </c>
      <c r="N74" s="24" t="inlineStr"/>
      <c r="O74" s="23" t="inlineStr"/>
    </row>
    <row r="75" ht="16" customHeight="1" s="18">
      <c r="A75" s="25" t="inlineStr">
        <is>
          <t>cfb059c12371</t>
        </is>
      </c>
      <c r="B75" s="25" t="inlineStr">
        <is>
          <t>15/02/2026</t>
        </is>
      </c>
      <c r="C75" s="25" t="inlineStr">
        <is>
          <t>Senior Water Network Engineer/Modellers</t>
        </is>
      </c>
      <c r="D75" s="25" t="inlineStr">
        <is>
          <t>Jacobs</t>
        </is>
      </c>
      <c r="E75" s="25" t="inlineStr">
        <is>
          <t>Reading, Berkshire</t>
        </is>
      </c>
      <c r="F75" s="25" t="inlineStr">
        <is>
          <t>£50,253 – £50,253</t>
        </is>
      </c>
      <c r="G75" s="25" t="inlineStr">
        <is>
          <t>Adzuna UK</t>
        </is>
      </c>
      <c r="H75" s="21" t="inlineStr">
        <is>
          <t>CONFIRMED</t>
        </is>
      </c>
      <c r="I75" s="25" t="n">
        <v>65</v>
      </c>
      <c r="J75" s="26" t="inlineStr">
        <is>
          <t>Apply Here</t>
        </is>
      </c>
      <c r="K75" s="27" t="inlineStr"/>
      <c r="L75" s="27" t="inlineStr"/>
      <c r="M75" s="27" t="inlineStr">
        <is>
          <t>Pending</t>
        </is>
      </c>
      <c r="N75" s="28" t="inlineStr"/>
      <c r="O75" s="27" t="inlineStr"/>
    </row>
    <row r="76" ht="16" customHeight="1" s="18">
      <c r="A76" s="20" t="inlineStr">
        <is>
          <t>b20a3074d918</t>
        </is>
      </c>
      <c r="B76" s="20" t="inlineStr">
        <is>
          <t>15/02/2026</t>
        </is>
      </c>
      <c r="C76" s="20" t="inlineStr">
        <is>
          <t>Hydraulics Engineers - UK Wide</t>
        </is>
      </c>
      <c r="D76" s="20" t="inlineStr">
        <is>
          <t>Jacobs</t>
        </is>
      </c>
      <c r="E76" s="20" t="inlineStr">
        <is>
          <t>Reading, Berkshire</t>
        </is>
      </c>
      <c r="F76" s="20" t="inlineStr">
        <is>
          <t>£48,252 – £48,252</t>
        </is>
      </c>
      <c r="G76" s="20" t="inlineStr">
        <is>
          <t>Adzuna UK</t>
        </is>
      </c>
      <c r="H76" s="21" t="inlineStr">
        <is>
          <t>CONFIRMED</t>
        </is>
      </c>
      <c r="I76" s="20" t="n">
        <v>65</v>
      </c>
      <c r="J76" s="22" t="inlineStr">
        <is>
          <t>Apply Here</t>
        </is>
      </c>
      <c r="K76" s="23" t="inlineStr"/>
      <c r="L76" s="23" t="inlineStr"/>
      <c r="M76" s="23" t="inlineStr">
        <is>
          <t>Pending</t>
        </is>
      </c>
      <c r="N76" s="24" t="inlineStr"/>
      <c r="O76" s="23" t="inlineStr"/>
    </row>
    <row r="77" ht="16" customHeight="1" s="18">
      <c r="A77" s="25" t="inlineStr">
        <is>
          <t>8a98b7dd77e0</t>
        </is>
      </c>
      <c r="B77" s="25" t="inlineStr">
        <is>
          <t>15/02/2026</t>
        </is>
      </c>
      <c r="C77" s="25" t="inlineStr">
        <is>
          <t>Hydraulics Engineers - UK Wide</t>
        </is>
      </c>
      <c r="D77" s="25" t="inlineStr">
        <is>
          <t>Jacobs</t>
        </is>
      </c>
      <c r="E77" s="25" t="inlineStr">
        <is>
          <t>London, UK</t>
        </is>
      </c>
      <c r="F77" s="25" t="inlineStr">
        <is>
          <t>£49,369 – £49,369</t>
        </is>
      </c>
      <c r="G77" s="25" t="inlineStr">
        <is>
          <t>Adzuna UK</t>
        </is>
      </c>
      <c r="H77" s="21" t="inlineStr">
        <is>
          <t>CONFIRMED</t>
        </is>
      </c>
      <c r="I77" s="25" t="n">
        <v>65</v>
      </c>
      <c r="J77" s="26" t="inlineStr">
        <is>
          <t>Apply Here</t>
        </is>
      </c>
      <c r="K77" s="27" t="inlineStr"/>
      <c r="L77" s="27" t="inlineStr"/>
      <c r="M77" s="27" t="inlineStr">
        <is>
          <t>Pending</t>
        </is>
      </c>
      <c r="N77" s="28" t="inlineStr"/>
      <c r="O77" s="27" t="inlineStr"/>
    </row>
    <row r="78" ht="16" customHeight="1" s="18">
      <c r="A78" s="20" t="inlineStr">
        <is>
          <t>7a3589942e7e</t>
        </is>
      </c>
      <c r="B78" s="20" t="inlineStr">
        <is>
          <t>15/02/2026</t>
        </is>
      </c>
      <c r="C78" s="20" t="inlineStr">
        <is>
          <t>Senior Civil Engineer</t>
        </is>
      </c>
      <c r="D78" s="20" t="inlineStr">
        <is>
          <t>Penguin Recruitment</t>
        </is>
      </c>
      <c r="E78" s="20" t="inlineStr">
        <is>
          <t>Denner Hill, Great Missenden</t>
        </is>
      </c>
      <c r="F78" s="20" t="inlineStr">
        <is>
          <t>£38,000 – £60,000</t>
        </is>
      </c>
      <c r="G78" s="20" t="inlineStr">
        <is>
          <t>Adzuna UK</t>
        </is>
      </c>
      <c r="H78" s="21" t="inlineStr">
        <is>
          <t>CONFIRMED</t>
        </is>
      </c>
      <c r="I78" s="20" t="n">
        <v>60</v>
      </c>
      <c r="J78" s="22" t="inlineStr">
        <is>
          <t>Apply Here</t>
        </is>
      </c>
      <c r="K78" s="23" t="inlineStr"/>
      <c r="L78" s="23" t="inlineStr"/>
      <c r="M78" s="23" t="inlineStr">
        <is>
          <t>Pending</t>
        </is>
      </c>
      <c r="N78" s="24" t="inlineStr"/>
      <c r="O78" s="23" t="inlineStr"/>
    </row>
    <row r="79" ht="16" customHeight="1" s="18">
      <c r="A79" s="25" t="inlineStr">
        <is>
          <t>9aac4a1e70a8</t>
        </is>
      </c>
      <c r="B79" s="25" t="inlineStr">
        <is>
          <t>15/02/2026</t>
        </is>
      </c>
      <c r="C79" s="25" t="inlineStr">
        <is>
          <t>Assistant Quantity Surveyor / Estimator - Civil Engineering</t>
        </is>
      </c>
      <c r="D79" s="25" t="inlineStr">
        <is>
          <t>Henley Chase</t>
        </is>
      </c>
      <c r="E79" s="25" t="inlineStr">
        <is>
          <t>New Haw, Addlestone</t>
        </is>
      </c>
      <c r="F79" s="25" t="inlineStr">
        <is>
          <t>£30,000 – £50,000</t>
        </is>
      </c>
      <c r="G79" s="25" t="inlineStr">
        <is>
          <t>Adzuna UK</t>
        </is>
      </c>
      <c r="H79" s="21" t="inlineStr">
        <is>
          <t>CONFIRMED</t>
        </is>
      </c>
      <c r="I79" s="25" t="n">
        <v>60</v>
      </c>
      <c r="J79" s="26" t="inlineStr">
        <is>
          <t>Apply Here</t>
        </is>
      </c>
      <c r="K79" s="27" t="inlineStr"/>
      <c r="L79" s="27" t="inlineStr"/>
      <c r="M79" s="27" t="inlineStr">
        <is>
          <t>Pending</t>
        </is>
      </c>
      <c r="N79" s="28" t="inlineStr"/>
      <c r="O79" s="27" t="inlineStr"/>
    </row>
    <row r="80" ht="16" customHeight="1" s="18">
      <c r="A80" s="20" t="inlineStr">
        <is>
          <t>ced6971fdf3b</t>
        </is>
      </c>
      <c r="B80" s="20" t="inlineStr">
        <is>
          <t>15/02/2026</t>
        </is>
      </c>
      <c r="C80" s="20" t="inlineStr">
        <is>
          <t>Junior Quantity Surveyor / Estimator - Civil Engineering</t>
        </is>
      </c>
      <c r="D80" s="20" t="inlineStr">
        <is>
          <t>Henley Chase Limited</t>
        </is>
      </c>
      <c r="E80" s="20" t="inlineStr">
        <is>
          <t>Addlestone, Surrey</t>
        </is>
      </c>
      <c r="F80" s="20" t="inlineStr">
        <is>
          <t>£30,000 – £50,000</t>
        </is>
      </c>
      <c r="G80" s="20" t="inlineStr">
        <is>
          <t>Adzuna UK</t>
        </is>
      </c>
      <c r="H80" s="21" t="inlineStr">
        <is>
          <t>CONFIRMED</t>
        </is>
      </c>
      <c r="I80" s="20" t="n">
        <v>60</v>
      </c>
      <c r="J80" s="22" t="inlineStr">
        <is>
          <t>Apply Here</t>
        </is>
      </c>
      <c r="K80" s="23" t="inlineStr"/>
      <c r="L80" s="23" t="inlineStr"/>
      <c r="M80" s="23" t="inlineStr">
        <is>
          <t>Pending</t>
        </is>
      </c>
      <c r="N80" s="24" t="inlineStr"/>
      <c r="O80" s="23" t="inlineStr"/>
    </row>
    <row r="81" ht="16" customHeight="1" s="18">
      <c r="A81" s="25" t="inlineStr">
        <is>
          <t>5315e7bcce86</t>
        </is>
      </c>
      <c r="B81" s="25" t="inlineStr">
        <is>
          <t>15/02/2026</t>
        </is>
      </c>
      <c r="C81" s="25" t="inlineStr">
        <is>
          <t>Drainage Design Engineer</t>
        </is>
      </c>
      <c r="D81" s="25" t="inlineStr">
        <is>
          <t>Pave Recruit</t>
        </is>
      </c>
      <c r="E81" s="25" t="inlineStr">
        <is>
          <t>Richmond, West London</t>
        </is>
      </c>
      <c r="F81" s="25" t="inlineStr">
        <is>
          <t>£38,000 – £44,000</t>
        </is>
      </c>
      <c r="G81" s="25" t="inlineStr">
        <is>
          <t>Adzuna UK</t>
        </is>
      </c>
      <c r="H81" s="21" t="inlineStr">
        <is>
          <t>CONFIRMED</t>
        </is>
      </c>
      <c r="I81" s="25" t="n">
        <v>55</v>
      </c>
      <c r="J81" s="26" t="inlineStr">
        <is>
          <t>Apply Here</t>
        </is>
      </c>
      <c r="K81" s="27" t="inlineStr"/>
      <c r="L81" s="27" t="inlineStr"/>
      <c r="M81" s="27" t="inlineStr">
        <is>
          <t>Pending</t>
        </is>
      </c>
      <c r="N81" s="28" t="inlineStr"/>
      <c r="O81" s="27" t="inlineStr"/>
    </row>
    <row r="82" ht="16" customHeight="1" s="18">
      <c r="A82" s="20" t="inlineStr">
        <is>
          <t>f1fd4eec6034</t>
        </is>
      </c>
      <c r="B82" s="20" t="inlineStr">
        <is>
          <t>15/02/2026</t>
        </is>
      </c>
      <c r="C82" s="20" t="inlineStr">
        <is>
          <t>Assistant Engineer - Clean Water Modelling</t>
        </is>
      </c>
      <c r="D82" s="20" t="inlineStr">
        <is>
          <t>WSP</t>
        </is>
      </c>
      <c r="E82" s="20" t="inlineStr">
        <is>
          <t>Aldwych, Central London</t>
        </is>
      </c>
      <c r="F82" s="20" t="inlineStr">
        <is>
          <t>£45,719 – £45,719</t>
        </is>
      </c>
      <c r="G82" s="20" t="inlineStr">
        <is>
          <t>Adzuna UK</t>
        </is>
      </c>
      <c r="H82" s="21" t="inlineStr">
        <is>
          <t>CONFIRMED</t>
        </is>
      </c>
      <c r="I82" s="20" t="n">
        <v>55</v>
      </c>
      <c r="J82" s="22" t="inlineStr">
        <is>
          <t>Apply Here</t>
        </is>
      </c>
      <c r="K82" s="23" t="inlineStr"/>
      <c r="L82" s="23" t="inlineStr"/>
      <c r="M82" s="23" t="inlineStr">
        <is>
          <t>Pending</t>
        </is>
      </c>
      <c r="N82" s="24" t="inlineStr"/>
      <c r="O82" s="23" t="inlineStr"/>
    </row>
    <row r="83" ht="16" customHeight="1" s="18">
      <c r="A83" s="25" t="inlineStr">
        <is>
          <t>0281ed9ec1ae</t>
        </is>
      </c>
      <c r="B83" s="25" t="inlineStr">
        <is>
          <t>15/02/2026</t>
        </is>
      </c>
      <c r="C83" s="25" t="inlineStr">
        <is>
          <t>Drainage Design Engineer</t>
        </is>
      </c>
      <c r="D83" s="25" t="inlineStr">
        <is>
          <t>Pave Recruit</t>
        </is>
      </c>
      <c r="E83" s="25" t="inlineStr">
        <is>
          <t>Richmond, West London</t>
        </is>
      </c>
      <c r="F83" s="25" t="inlineStr">
        <is>
          <t>£38,000 – £44,000</t>
        </is>
      </c>
      <c r="G83" s="25" t="inlineStr">
        <is>
          <t>Adzuna UK</t>
        </is>
      </c>
      <c r="H83" s="21" t="inlineStr">
        <is>
          <t>CONFIRMED</t>
        </is>
      </c>
      <c r="I83" s="25" t="n">
        <v>55</v>
      </c>
      <c r="J83" s="26" t="inlineStr">
        <is>
          <t>Apply Here</t>
        </is>
      </c>
      <c r="K83" s="27" t="inlineStr"/>
      <c r="L83" s="27" t="inlineStr"/>
      <c r="M83" s="27" t="inlineStr">
        <is>
          <t>Pending</t>
        </is>
      </c>
      <c r="N83" s="28" t="inlineStr"/>
      <c r="O83" s="27" t="inlineStr"/>
    </row>
    <row r="84" ht="16" customHeight="1" s="18">
      <c r="A84" s="20" t="inlineStr">
        <is>
          <t>2aa61d5c1bc0</t>
        </is>
      </c>
      <c r="B84" s="20" t="inlineStr">
        <is>
          <t>15/02/2026</t>
        </is>
      </c>
      <c r="C84" s="20" t="inlineStr">
        <is>
          <t>Pollution Response Technician</t>
        </is>
      </c>
      <c r="D84" s="20" t="inlineStr">
        <is>
          <t>Lanes Group</t>
        </is>
      </c>
      <c r="E84" s="20" t="inlineStr">
        <is>
          <t>Tudeley, Tonbridge</t>
        </is>
      </c>
      <c r="F84" s="20" t="inlineStr">
        <is>
          <t>£54,416 – £54,416</t>
        </is>
      </c>
      <c r="G84" s="20" t="inlineStr">
        <is>
          <t>Adzuna UK</t>
        </is>
      </c>
      <c r="H84" s="21" t="inlineStr">
        <is>
          <t>CONFIRMED</t>
        </is>
      </c>
      <c r="I84" s="20" t="n">
        <v>55</v>
      </c>
      <c r="J84" s="22" t="inlineStr">
        <is>
          <t>Apply Here</t>
        </is>
      </c>
      <c r="K84" s="23" t="inlineStr"/>
      <c r="L84" s="23" t="inlineStr"/>
      <c r="M84" s="23" t="inlineStr">
        <is>
          <t>Pending</t>
        </is>
      </c>
      <c r="N84" s="24" t="inlineStr"/>
      <c r="O84" s="23" t="inlineStr"/>
    </row>
    <row r="85" ht="16" customHeight="1" s="18">
      <c r="A85" s="25" t="inlineStr">
        <is>
          <t>aa3b3fa4f83d</t>
        </is>
      </c>
      <c r="B85" s="25" t="inlineStr">
        <is>
          <t>15/02/2026</t>
        </is>
      </c>
      <c r="C85" s="25" t="inlineStr">
        <is>
          <t>Electrical Project/Design Engineer</t>
        </is>
      </c>
      <c r="D85" s="25" t="inlineStr">
        <is>
          <t>Matchtech</t>
        </is>
      </c>
      <c r="E85" s="25" t="inlineStr">
        <is>
          <t>Farringdon, Central London</t>
        </is>
      </c>
      <c r="F85" s="25" t="inlineStr">
        <is>
          <t>£40,000 – £50,000</t>
        </is>
      </c>
      <c r="G85" s="25" t="inlineStr">
        <is>
          <t>Adzuna UK</t>
        </is>
      </c>
      <c r="H85" s="21" t="inlineStr">
        <is>
          <t>CONFIRMED</t>
        </is>
      </c>
      <c r="I85" s="25" t="n">
        <v>50</v>
      </c>
      <c r="J85" s="26" t="inlineStr">
        <is>
          <t>Apply Here</t>
        </is>
      </c>
      <c r="K85" s="27" t="inlineStr"/>
      <c r="L85" s="27" t="inlineStr"/>
      <c r="M85" s="27" t="inlineStr">
        <is>
          <t>Pending</t>
        </is>
      </c>
      <c r="N85" s="28" t="inlineStr"/>
      <c r="O85" s="27" t="inlineStr"/>
    </row>
    <row r="86" ht="16" customHeight="1" s="18">
      <c r="A86" s="20" t="inlineStr">
        <is>
          <t>8ea18a6807e9</t>
        </is>
      </c>
      <c r="B86" s="20" t="inlineStr">
        <is>
          <t>15/02/2026</t>
        </is>
      </c>
      <c r="C86" s="20" t="inlineStr">
        <is>
          <t>Civil Engineer (Hybrid)</t>
        </is>
      </c>
      <c r="D86" s="20" t="inlineStr">
        <is>
          <t>Ernest Gordon Recruitment</t>
        </is>
      </c>
      <c r="E86" s="20" t="inlineStr">
        <is>
          <t>Slough, Berkshire</t>
        </is>
      </c>
      <c r="F86" s="20" t="inlineStr">
        <is>
          <t>£55,000 – £55,000</t>
        </is>
      </c>
      <c r="G86" s="20" t="inlineStr">
        <is>
          <t>Adzuna UK</t>
        </is>
      </c>
      <c r="H86" s="21" t="inlineStr">
        <is>
          <t>CONFIRMED</t>
        </is>
      </c>
      <c r="I86" s="20" t="n">
        <v>50</v>
      </c>
      <c r="J86" s="22" t="inlineStr">
        <is>
          <t>Apply Here</t>
        </is>
      </c>
      <c r="K86" s="23" t="inlineStr"/>
      <c r="L86" s="23" t="inlineStr"/>
      <c r="M86" s="23" t="inlineStr">
        <is>
          <t>Pending</t>
        </is>
      </c>
      <c r="N86" s="24" t="inlineStr"/>
      <c r="O86" s="23" t="inlineStr"/>
    </row>
    <row r="87" ht="16" customHeight="1" s="18">
      <c r="A87" s="25" t="inlineStr">
        <is>
          <t>cdd628fe785b</t>
        </is>
      </c>
      <c r="B87" s="25" t="inlineStr">
        <is>
          <t>15/02/2026</t>
        </is>
      </c>
      <c r="C87" s="25" t="inlineStr">
        <is>
          <t>Civil Engineer Hybrid</t>
        </is>
      </c>
      <c r="D87" s="25" t="inlineStr">
        <is>
          <t>Ernest Gordon Recruitment Limited</t>
        </is>
      </c>
      <c r="E87" s="25" t="inlineStr">
        <is>
          <t>Slough, Berkshire</t>
        </is>
      </c>
      <c r="F87" s="25" t="inlineStr">
        <is>
          <t>£45,000 – £55,000</t>
        </is>
      </c>
      <c r="G87" s="25" t="inlineStr">
        <is>
          <t>Adzuna UK</t>
        </is>
      </c>
      <c r="H87" s="21" t="inlineStr">
        <is>
          <t>CONFIRMED</t>
        </is>
      </c>
      <c r="I87" s="25" t="n">
        <v>50</v>
      </c>
      <c r="J87" s="26" t="inlineStr">
        <is>
          <t>Apply Here</t>
        </is>
      </c>
      <c r="K87" s="27" t="inlineStr"/>
      <c r="L87" s="27" t="inlineStr"/>
      <c r="M87" s="27" t="inlineStr">
        <is>
          <t>Pending</t>
        </is>
      </c>
      <c r="N87" s="28" t="inlineStr"/>
      <c r="O87" s="27" t="inlineStr"/>
    </row>
    <row r="88" ht="16" customHeight="1" s="18">
      <c r="A88" s="20" t="inlineStr">
        <is>
          <t>02e7c1dc067d</t>
        </is>
      </c>
      <c r="B88" s="20" t="inlineStr">
        <is>
          <t>15/02/2026</t>
        </is>
      </c>
      <c r="C88" s="20" t="inlineStr">
        <is>
          <t>Civil Engineer (Water industry)</t>
        </is>
      </c>
      <c r="D88" s="20" t="inlineStr">
        <is>
          <t>Ernest Gordon Recruitment</t>
        </is>
      </c>
      <c r="E88" s="20" t="inlineStr">
        <is>
          <t>Slough, Berkshire</t>
        </is>
      </c>
      <c r="F88" s="20" t="inlineStr">
        <is>
          <t>£55,000 – £55,000</t>
        </is>
      </c>
      <c r="G88" s="20" t="inlineStr">
        <is>
          <t>Adzuna UK</t>
        </is>
      </c>
      <c r="H88" s="21" t="inlineStr">
        <is>
          <t>CONFIRMED</t>
        </is>
      </c>
      <c r="I88" s="20" t="n">
        <v>50</v>
      </c>
      <c r="J88" s="22" t="inlineStr">
        <is>
          <t>Apply Here</t>
        </is>
      </c>
      <c r="K88" s="23" t="inlineStr"/>
      <c r="L88" s="23" t="inlineStr"/>
      <c r="M88" s="23" t="inlineStr">
        <is>
          <t>Pending</t>
        </is>
      </c>
      <c r="N88" s="24" t="inlineStr"/>
      <c r="O88" s="23" t="inlineStr"/>
    </row>
    <row r="89" ht="16" customHeight="1" s="18">
      <c r="A89" s="25" t="inlineStr">
        <is>
          <t>cd6504ff076a</t>
        </is>
      </c>
      <c r="B89" s="25" t="inlineStr">
        <is>
          <t>15/02/2026</t>
        </is>
      </c>
      <c r="C89" s="25" t="inlineStr">
        <is>
          <t>Civil Engineer Water industry</t>
        </is>
      </c>
      <c r="D89" s="25" t="inlineStr">
        <is>
          <t>Ernest Gordon Recruitment Limited</t>
        </is>
      </c>
      <c r="E89" s="25" t="inlineStr">
        <is>
          <t>Slough, Berkshire</t>
        </is>
      </c>
      <c r="F89" s="25" t="inlineStr">
        <is>
          <t>£45,000 – £55,000</t>
        </is>
      </c>
      <c r="G89" s="25" t="inlineStr">
        <is>
          <t>Adzuna UK</t>
        </is>
      </c>
      <c r="H89" s="21" t="inlineStr">
        <is>
          <t>CONFIRMED</t>
        </is>
      </c>
      <c r="I89" s="25" t="n">
        <v>50</v>
      </c>
      <c r="J89" s="26" t="inlineStr">
        <is>
          <t>Apply Here</t>
        </is>
      </c>
      <c r="K89" s="27" t="inlineStr"/>
      <c r="L89" s="27" t="inlineStr"/>
      <c r="M89" s="27" t="inlineStr">
        <is>
          <t>Pending</t>
        </is>
      </c>
      <c r="N89" s="28" t="inlineStr"/>
      <c r="O89" s="27" t="inlineStr"/>
    </row>
    <row r="90" ht="16" customHeight="1" s="18">
      <c r="A90" s="20" t="inlineStr">
        <is>
          <t>ad5a339f93f7</t>
        </is>
      </c>
      <c r="B90" s="20" t="inlineStr">
        <is>
          <t>16/02/2026</t>
        </is>
      </c>
      <c r="C90" s="20" t="inlineStr">
        <is>
          <t>Drainage Engineer</t>
        </is>
      </c>
      <c r="D90" s="20" t="inlineStr">
        <is>
          <t>CHARTWELL</t>
        </is>
      </c>
      <c r="E90" s="20" t="inlineStr">
        <is>
          <t>Chatham, Kent</t>
        </is>
      </c>
      <c r="F90" s="20" t="inlineStr">
        <is>
          <t>£45,000 – £45,000</t>
        </is>
      </c>
      <c r="G90" s="20" t="inlineStr">
        <is>
          <t>Adzuna UK</t>
        </is>
      </c>
      <c r="H90" s="21" t="inlineStr">
        <is>
          <t>CONFIRMED</t>
        </is>
      </c>
      <c r="I90" s="20" t="n">
        <v>70</v>
      </c>
      <c r="J90" s="22" t="inlineStr">
        <is>
          <t>Apply Here</t>
        </is>
      </c>
      <c r="K90" s="23" t="inlineStr"/>
      <c r="L90" s="23" t="inlineStr"/>
      <c r="M90" s="23" t="inlineStr">
        <is>
          <t>Pending</t>
        </is>
      </c>
      <c r="N90" s="24" t="inlineStr"/>
      <c r="O90" s="23" t="inlineStr"/>
    </row>
    <row r="91" ht="16" customHeight="1" s="18">
      <c r="A91" s="25" t="inlineStr">
        <is>
          <t>b7233cf19e6c</t>
        </is>
      </c>
      <c r="B91" s="25" t="inlineStr">
        <is>
          <t>16/02/2026</t>
        </is>
      </c>
      <c r="C91" s="25" t="inlineStr">
        <is>
          <t>Drainage Engineer</t>
        </is>
      </c>
      <c r="D91" s="25" t="inlineStr">
        <is>
          <t>Reed</t>
        </is>
      </c>
      <c r="E91" s="25" t="inlineStr">
        <is>
          <t>London, UK</t>
        </is>
      </c>
      <c r="F91" s="25" t="inlineStr">
        <is>
          <t>£40,000 – £50,000</t>
        </is>
      </c>
      <c r="G91" s="25" t="inlineStr">
        <is>
          <t>Adzuna UK</t>
        </is>
      </c>
      <c r="H91" s="21" t="inlineStr">
        <is>
          <t>CONFIRMED</t>
        </is>
      </c>
      <c r="I91" s="25" t="n">
        <v>70</v>
      </c>
      <c r="J91" s="26" t="inlineStr">
        <is>
          <t>Apply Here</t>
        </is>
      </c>
      <c r="K91" s="27" t="inlineStr"/>
      <c r="L91" s="27" t="inlineStr"/>
      <c r="M91" s="27" t="inlineStr">
        <is>
          <t>Pending</t>
        </is>
      </c>
      <c r="N91" s="28" t="inlineStr"/>
      <c r="O91" s="27" t="inlineStr"/>
    </row>
    <row r="92" ht="16" customHeight="1" s="18">
      <c r="A92" s="20" t="inlineStr">
        <is>
          <t>67be42e395a2</t>
        </is>
      </c>
      <c r="B92" s="20" t="inlineStr">
        <is>
          <t>16/02/2026</t>
        </is>
      </c>
      <c r="C92" s="20" t="inlineStr">
        <is>
          <t>Civil Infrastructure Engineer</t>
        </is>
      </c>
      <c r="D92" s="20" t="inlineStr">
        <is>
          <t>Zodiac Recruitment</t>
        </is>
      </c>
      <c r="E92" s="20" t="inlineStr">
        <is>
          <t>Stone Cross, Crowborough</t>
        </is>
      </c>
      <c r="F92" s="20" t="inlineStr">
        <is>
          <t>£32,000 – £44,000</t>
        </is>
      </c>
      <c r="G92" s="20" t="inlineStr">
        <is>
          <t>Adzuna UK</t>
        </is>
      </c>
      <c r="H92" s="21" t="inlineStr">
        <is>
          <t>CONFIRMED</t>
        </is>
      </c>
      <c r="I92" s="20" t="n">
        <v>70</v>
      </c>
      <c r="J92" s="22" t="inlineStr">
        <is>
          <t>Apply Here</t>
        </is>
      </c>
      <c r="K92" s="23" t="inlineStr"/>
      <c r="L92" s="23" t="inlineStr"/>
      <c r="M92" s="23" t="inlineStr">
        <is>
          <t>Pending</t>
        </is>
      </c>
      <c r="N92" s="24" t="inlineStr"/>
      <c r="O92" s="23" t="inlineStr"/>
    </row>
    <row r="93" ht="16" customHeight="1" s="18">
      <c r="A93" s="25" t="inlineStr">
        <is>
          <t>8afc2cf8a5a5</t>
        </is>
      </c>
      <c r="B93" s="25" t="inlineStr">
        <is>
          <t>16/02/2026</t>
        </is>
      </c>
      <c r="C93" s="25" t="inlineStr">
        <is>
          <t>Drainage Engineer</t>
        </is>
      </c>
      <c r="D93" s="25" t="inlineStr">
        <is>
          <t>Ernest Gordon Recruitment</t>
        </is>
      </c>
      <c r="E93" s="25" t="inlineStr">
        <is>
          <t>South Croydon, South East London</t>
        </is>
      </c>
      <c r="F93" s="25" t="inlineStr">
        <is>
          <t>£45,000 – £45,000</t>
        </is>
      </c>
      <c r="G93" s="25" t="inlineStr">
        <is>
          <t>Adzuna UK</t>
        </is>
      </c>
      <c r="H93" s="21" t="inlineStr">
        <is>
          <t>CONFIRMED</t>
        </is>
      </c>
      <c r="I93" s="25" t="n">
        <v>70</v>
      </c>
      <c r="J93" s="26" t="inlineStr">
        <is>
          <t>Apply Here</t>
        </is>
      </c>
      <c r="K93" s="27" t="inlineStr"/>
      <c r="L93" s="27" t="inlineStr"/>
      <c r="M93" s="27" t="inlineStr">
        <is>
          <t>Pending</t>
        </is>
      </c>
      <c r="N93" s="28" t="inlineStr"/>
      <c r="O93" s="27" t="inlineStr"/>
    </row>
    <row r="94" ht="16" customHeight="1" s="18">
      <c r="A94" s="20" t="inlineStr">
        <is>
          <t>f24c3027be66</t>
        </is>
      </c>
      <c r="B94" s="20" t="inlineStr">
        <is>
          <t>16/02/2026</t>
        </is>
      </c>
      <c r="C94" s="20" t="inlineStr">
        <is>
          <t>Drainage Engineer</t>
        </is>
      </c>
      <c r="D94" s="20" t="inlineStr">
        <is>
          <t>Ernest Gordon Recruitment Limited</t>
        </is>
      </c>
      <c r="E94" s="20" t="inlineStr">
        <is>
          <t>South Croydon, South East London</t>
        </is>
      </c>
      <c r="F94" s="20" t="inlineStr">
        <is>
          <t>£35,000 – £45,000</t>
        </is>
      </c>
      <c r="G94" s="20" t="inlineStr">
        <is>
          <t>Adzuna UK</t>
        </is>
      </c>
      <c r="H94" s="21" t="inlineStr">
        <is>
          <t>CONFIRMED</t>
        </is>
      </c>
      <c r="I94" s="20" t="n">
        <v>70</v>
      </c>
      <c r="J94" s="22" t="inlineStr">
        <is>
          <t>Apply Here</t>
        </is>
      </c>
      <c r="K94" s="23" t="inlineStr"/>
      <c r="L94" s="23" t="inlineStr"/>
      <c r="M94" s="23" t="inlineStr">
        <is>
          <t>Pending</t>
        </is>
      </c>
      <c r="N94" s="24" t="inlineStr"/>
      <c r="O94" s="23" t="inlineStr"/>
    </row>
    <row r="95" ht="16" customHeight="1" s="18">
      <c r="A95" s="25" t="inlineStr">
        <is>
          <t>e3872cb11a63</t>
        </is>
      </c>
      <c r="B95" s="25" t="inlineStr">
        <is>
          <t>16/02/2026</t>
        </is>
      </c>
      <c r="C95" s="25" t="inlineStr">
        <is>
          <t>Drainage Engineer</t>
        </is>
      </c>
      <c r="D95" s="25" t="inlineStr">
        <is>
          <t>Ernest Gordon Recruitment Limited</t>
        </is>
      </c>
      <c r="E95" s="25" t="inlineStr">
        <is>
          <t>Croydon, London</t>
        </is>
      </c>
      <c r="F95" s="25" t="inlineStr">
        <is>
          <t>£35,000 – £45,000</t>
        </is>
      </c>
      <c r="G95" s="25" t="inlineStr">
        <is>
          <t>Adzuna UK</t>
        </is>
      </c>
      <c r="H95" s="21" t="inlineStr">
        <is>
          <t>CONFIRMED</t>
        </is>
      </c>
      <c r="I95" s="25" t="n">
        <v>70</v>
      </c>
      <c r="J95" s="26" t="inlineStr">
        <is>
          <t>Apply Here</t>
        </is>
      </c>
      <c r="K95" s="27" t="inlineStr"/>
      <c r="L95" s="27" t="inlineStr"/>
      <c r="M95" s="27" t="inlineStr">
        <is>
          <t>Pending</t>
        </is>
      </c>
      <c r="N95" s="28" t="inlineStr"/>
      <c r="O95" s="27" t="inlineStr"/>
    </row>
    <row r="96" ht="16" customHeight="1" s="18">
      <c r="A96" s="20" t="inlineStr">
        <is>
          <t>cee3639a2310</t>
        </is>
      </c>
      <c r="B96" s="20" t="inlineStr">
        <is>
          <t>16/02/2026</t>
        </is>
      </c>
      <c r="C96" s="20" t="inlineStr">
        <is>
          <t>Plumber</t>
        </is>
      </c>
      <c r="D96" s="20" t="inlineStr">
        <is>
          <t>Wates</t>
        </is>
      </c>
      <c r="E96" s="20" t="inlineStr">
        <is>
          <t>Tinsley Green, Crawley</t>
        </is>
      </c>
      <c r="F96" s="20" t="inlineStr">
        <is>
          <t>£43,202 – £43,202</t>
        </is>
      </c>
      <c r="G96" s="20" t="inlineStr">
        <is>
          <t>Adzuna UK</t>
        </is>
      </c>
      <c r="H96" s="21" t="inlineStr">
        <is>
          <t>CONFIRMED</t>
        </is>
      </c>
      <c r="I96" s="20" t="n">
        <v>70</v>
      </c>
      <c r="J96" s="22" t="inlineStr">
        <is>
          <t>Apply Here</t>
        </is>
      </c>
      <c r="K96" s="23" t="inlineStr"/>
      <c r="L96" s="23" t="inlineStr"/>
      <c r="M96" s="23" t="inlineStr">
        <is>
          <t>Pending</t>
        </is>
      </c>
      <c r="N96" s="24" t="inlineStr"/>
      <c r="O96" s="23" t="inlineStr"/>
    </row>
    <row r="97" ht="16" customHeight="1" s="18">
      <c r="A97" s="25" t="inlineStr">
        <is>
          <t>70e9cf198ebd</t>
        </is>
      </c>
      <c r="B97" s="25" t="inlineStr">
        <is>
          <t>16/02/2026</t>
        </is>
      </c>
      <c r="C97" s="25" t="inlineStr">
        <is>
          <t>Mechanical Design Engineer - Water</t>
        </is>
      </c>
      <c r="D97" s="25" t="inlineStr">
        <is>
          <t>SSA Recruitment</t>
        </is>
      </c>
      <c r="E97" s="25" t="inlineStr">
        <is>
          <t>West Hampstead, North West London</t>
        </is>
      </c>
      <c r="F97" s="25" t="inlineStr">
        <is>
          <t>£55,000 – £65,000</t>
        </is>
      </c>
      <c r="G97" s="25" t="inlineStr">
        <is>
          <t>Adzuna UK</t>
        </is>
      </c>
      <c r="H97" s="21" t="inlineStr">
        <is>
          <t>CONFIRMED</t>
        </is>
      </c>
      <c r="I97" s="25" t="n">
        <v>65</v>
      </c>
      <c r="J97" s="26" t="inlineStr">
        <is>
          <t>Apply Here</t>
        </is>
      </c>
      <c r="K97" s="27" t="inlineStr"/>
      <c r="L97" s="27" t="inlineStr"/>
      <c r="M97" s="27" t="inlineStr">
        <is>
          <t>Pending</t>
        </is>
      </c>
      <c r="N97" s="28" t="inlineStr"/>
      <c r="O97" s="27" t="inlineStr"/>
    </row>
    <row r="98" ht="16" customHeight="1" s="18">
      <c r="A98" s="20" t="inlineStr">
        <is>
          <t>9f7de7bf8307</t>
        </is>
      </c>
      <c r="B98" s="20" t="inlineStr">
        <is>
          <t>16/02/2026</t>
        </is>
      </c>
      <c r="C98" s="20" t="inlineStr">
        <is>
          <t>Senior Water Network Engineer/Modellers</t>
        </is>
      </c>
      <c r="D98" s="20" t="inlineStr">
        <is>
          <t>Jacobs</t>
        </is>
      </c>
      <c r="E98" s="20" t="inlineStr">
        <is>
          <t>Reading, Berkshire</t>
        </is>
      </c>
      <c r="F98" s="20" t="inlineStr">
        <is>
          <t>£50,253 – £50,253</t>
        </is>
      </c>
      <c r="G98" s="20" t="inlineStr">
        <is>
          <t>Adzuna UK</t>
        </is>
      </c>
      <c r="H98" s="21" t="inlineStr">
        <is>
          <t>CONFIRMED</t>
        </is>
      </c>
      <c r="I98" s="20" t="n">
        <v>65</v>
      </c>
      <c r="J98" s="22" t="inlineStr">
        <is>
          <t>Apply Here</t>
        </is>
      </c>
      <c r="K98" s="23" t="inlineStr"/>
      <c r="L98" s="23" t="inlineStr"/>
      <c r="M98" s="23" t="inlineStr">
        <is>
          <t>Pending</t>
        </is>
      </c>
      <c r="N98" s="24" t="inlineStr"/>
      <c r="O98" s="23" t="inlineStr"/>
    </row>
    <row r="99" ht="16" customHeight="1" s="18">
      <c r="A99" s="25" t="inlineStr">
        <is>
          <t>2005366f198b</t>
        </is>
      </c>
      <c r="B99" s="25" t="inlineStr">
        <is>
          <t>16/02/2026</t>
        </is>
      </c>
      <c r="C99" s="25" t="inlineStr">
        <is>
          <t>Hydraulics Engineers - UK Wide</t>
        </is>
      </c>
      <c r="D99" s="25" t="inlineStr">
        <is>
          <t>Jacobs</t>
        </is>
      </c>
      <c r="E99" s="25" t="inlineStr">
        <is>
          <t>Reading, Berkshire</t>
        </is>
      </c>
      <c r="F99" s="25" t="inlineStr">
        <is>
          <t>£48,252 – £48,252</t>
        </is>
      </c>
      <c r="G99" s="25" t="inlineStr">
        <is>
          <t>Adzuna UK</t>
        </is>
      </c>
      <c r="H99" s="21" t="inlineStr">
        <is>
          <t>CONFIRMED</t>
        </is>
      </c>
      <c r="I99" s="25" t="n">
        <v>65</v>
      </c>
      <c r="J99" s="26" t="inlineStr">
        <is>
          <t>Apply Here</t>
        </is>
      </c>
      <c r="K99" s="27" t="inlineStr"/>
      <c r="L99" s="27" t="inlineStr"/>
      <c r="M99" s="27" t="inlineStr">
        <is>
          <t>Pending</t>
        </is>
      </c>
      <c r="N99" s="28" t="inlineStr"/>
      <c r="O99" s="27" t="inlineStr"/>
    </row>
    <row r="100" ht="16" customHeight="1" s="18">
      <c r="A100" s="20" t="inlineStr">
        <is>
          <t>b73c48b099c2</t>
        </is>
      </c>
      <c r="B100" s="20" t="inlineStr">
        <is>
          <t>16/02/2026</t>
        </is>
      </c>
      <c r="C100" s="20" t="inlineStr">
        <is>
          <t>Hydraulics Engineers - UK Wide</t>
        </is>
      </c>
      <c r="D100" s="20" t="inlineStr">
        <is>
          <t>Jacobs</t>
        </is>
      </c>
      <c r="E100" s="20" t="inlineStr">
        <is>
          <t>London, UK</t>
        </is>
      </c>
      <c r="F100" s="20" t="inlineStr">
        <is>
          <t>£49,369 – £49,369</t>
        </is>
      </c>
      <c r="G100" s="20" t="inlineStr">
        <is>
          <t>Adzuna UK</t>
        </is>
      </c>
      <c r="H100" s="21" t="inlineStr">
        <is>
          <t>CONFIRMED</t>
        </is>
      </c>
      <c r="I100" s="20" t="n">
        <v>65</v>
      </c>
      <c r="J100" s="22" t="inlineStr">
        <is>
          <t>Apply Here</t>
        </is>
      </c>
      <c r="K100" s="23" t="inlineStr"/>
      <c r="L100" s="23" t="inlineStr"/>
      <c r="M100" s="23" t="inlineStr">
        <is>
          <t>Pending</t>
        </is>
      </c>
      <c r="N100" s="24" t="inlineStr"/>
      <c r="O100" s="23" t="inlineStr"/>
    </row>
    <row r="101" ht="16" customHeight="1" s="18">
      <c r="A101" s="25" t="inlineStr">
        <is>
          <t>284c1ac9fbb7</t>
        </is>
      </c>
      <c r="B101" s="25" t="inlineStr">
        <is>
          <t>16/02/2026</t>
        </is>
      </c>
      <c r="C101" s="25" t="inlineStr">
        <is>
          <t>Senior Civil Engineer</t>
        </is>
      </c>
      <c r="D101" s="25" t="inlineStr">
        <is>
          <t>Penguin Recruitment</t>
        </is>
      </c>
      <c r="E101" s="25" t="inlineStr">
        <is>
          <t>Denner Hill, Great Missenden</t>
        </is>
      </c>
      <c r="F101" s="25" t="inlineStr">
        <is>
          <t>£38,000 – £60,000</t>
        </is>
      </c>
      <c r="G101" s="25" t="inlineStr">
        <is>
          <t>Adzuna UK</t>
        </is>
      </c>
      <c r="H101" s="21" t="inlineStr">
        <is>
          <t>CONFIRMED</t>
        </is>
      </c>
      <c r="I101" s="25" t="n">
        <v>60</v>
      </c>
      <c r="J101" s="26" t="inlineStr">
        <is>
          <t>Apply Here</t>
        </is>
      </c>
      <c r="K101" s="27" t="inlineStr"/>
      <c r="L101" s="27" t="inlineStr"/>
      <c r="M101" s="27" t="inlineStr">
        <is>
          <t>Pending</t>
        </is>
      </c>
      <c r="N101" s="28" t="inlineStr"/>
      <c r="O101" s="27" t="inlineStr"/>
    </row>
    <row r="102" ht="16" customHeight="1" s="18">
      <c r="A102" s="20" t="inlineStr">
        <is>
          <t>8a1f7ea66b12</t>
        </is>
      </c>
      <c r="B102" s="20" t="inlineStr">
        <is>
          <t>16/02/2026</t>
        </is>
      </c>
      <c r="C102" s="20" t="inlineStr">
        <is>
          <t>Assistant Quantity Surveyor / Estimator - Civil Engineering</t>
        </is>
      </c>
      <c r="D102" s="20" t="inlineStr">
        <is>
          <t>Henley Chase</t>
        </is>
      </c>
      <c r="E102" s="20" t="inlineStr">
        <is>
          <t>New Haw, Addlestone</t>
        </is>
      </c>
      <c r="F102" s="20" t="inlineStr">
        <is>
          <t>£30,000 – £50,000</t>
        </is>
      </c>
      <c r="G102" s="20" t="inlineStr">
        <is>
          <t>Adzuna UK</t>
        </is>
      </c>
      <c r="H102" s="21" t="inlineStr">
        <is>
          <t>CONFIRMED</t>
        </is>
      </c>
      <c r="I102" s="20" t="n">
        <v>60</v>
      </c>
      <c r="J102" s="22" t="inlineStr">
        <is>
          <t>Apply Here</t>
        </is>
      </c>
      <c r="K102" s="23" t="inlineStr"/>
      <c r="L102" s="23" t="inlineStr"/>
      <c r="M102" s="23" t="inlineStr">
        <is>
          <t>Pending</t>
        </is>
      </c>
      <c r="N102" s="24" t="inlineStr"/>
      <c r="O102" s="23" t="inlineStr"/>
    </row>
    <row r="103" ht="16" customHeight="1" s="18">
      <c r="A103" s="25" t="inlineStr">
        <is>
          <t>5cbdcd0ea87e</t>
        </is>
      </c>
      <c r="B103" s="25" t="inlineStr">
        <is>
          <t>16/02/2026</t>
        </is>
      </c>
      <c r="C103" s="25" t="inlineStr">
        <is>
          <t>Junior Quantity Surveyor / Estimator - Civil Engineering</t>
        </is>
      </c>
      <c r="D103" s="25" t="inlineStr">
        <is>
          <t>Henley Chase Limited</t>
        </is>
      </c>
      <c r="E103" s="25" t="inlineStr">
        <is>
          <t>Addlestone, Surrey</t>
        </is>
      </c>
      <c r="F103" s="25" t="inlineStr">
        <is>
          <t>£30,000 – £50,000</t>
        </is>
      </c>
      <c r="G103" s="25" t="inlineStr">
        <is>
          <t>Adzuna UK</t>
        </is>
      </c>
      <c r="H103" s="21" t="inlineStr">
        <is>
          <t>CONFIRMED</t>
        </is>
      </c>
      <c r="I103" s="25" t="n">
        <v>60</v>
      </c>
      <c r="J103" s="26" t="inlineStr">
        <is>
          <t>Apply Here</t>
        </is>
      </c>
      <c r="K103" s="27" t="inlineStr"/>
      <c r="L103" s="27" t="inlineStr"/>
      <c r="M103" s="27" t="inlineStr">
        <is>
          <t>Pending</t>
        </is>
      </c>
      <c r="N103" s="28" t="inlineStr"/>
      <c r="O103" s="27" t="inlineStr"/>
    </row>
    <row r="104" ht="16" customHeight="1" s="18">
      <c r="A104" s="20" t="inlineStr">
        <is>
          <t>93f6bd8d7c80</t>
        </is>
      </c>
      <c r="B104" s="20" t="inlineStr">
        <is>
          <t>16/02/2026</t>
        </is>
      </c>
      <c r="C104" s="20" t="inlineStr">
        <is>
          <t>Senior Engineer - Flood Risk &amp; Drainage</t>
        </is>
      </c>
      <c r="D104" s="20" t="inlineStr">
        <is>
          <t>Aztrum</t>
        </is>
      </c>
      <c r="E104" s="20" t="inlineStr">
        <is>
          <t>Ash Vale, Aldershot</t>
        </is>
      </c>
      <c r="F104" s="20" t="inlineStr">
        <is>
          <t>£45,000 – £55,000</t>
        </is>
      </c>
      <c r="G104" s="20" t="inlineStr">
        <is>
          <t>Adzuna UK</t>
        </is>
      </c>
      <c r="H104" s="21" t="inlineStr">
        <is>
          <t>CONFIRMED</t>
        </is>
      </c>
      <c r="I104" s="20" t="n">
        <v>60</v>
      </c>
      <c r="J104" s="22" t="inlineStr">
        <is>
          <t>Apply Here</t>
        </is>
      </c>
      <c r="K104" s="23" t="inlineStr"/>
      <c r="L104" s="23" t="inlineStr"/>
      <c r="M104" s="23" t="inlineStr">
        <is>
          <t>Pending</t>
        </is>
      </c>
      <c r="N104" s="24" t="inlineStr"/>
      <c r="O104" s="23" t="inlineStr"/>
    </row>
    <row r="105" ht="16" customHeight="1" s="18">
      <c r="A105" s="25" t="inlineStr">
        <is>
          <t>10fdb449a05f</t>
        </is>
      </c>
      <c r="B105" s="25" t="inlineStr">
        <is>
          <t>16/02/2026</t>
        </is>
      </c>
      <c r="C105" s="25" t="inlineStr">
        <is>
          <t>Drainage Design Engineer</t>
        </is>
      </c>
      <c r="D105" s="25" t="inlineStr">
        <is>
          <t>Pave Recruit</t>
        </is>
      </c>
      <c r="E105" s="25" t="inlineStr">
        <is>
          <t>Richmond, West London</t>
        </is>
      </c>
      <c r="F105" s="25" t="inlineStr">
        <is>
          <t>£38,000 – £44,000</t>
        </is>
      </c>
      <c r="G105" s="25" t="inlineStr">
        <is>
          <t>Adzuna UK</t>
        </is>
      </c>
      <c r="H105" s="21" t="inlineStr">
        <is>
          <t>CONFIRMED</t>
        </is>
      </c>
      <c r="I105" s="25" t="n">
        <v>55</v>
      </c>
      <c r="J105" s="26" t="inlineStr">
        <is>
          <t>Apply Here</t>
        </is>
      </c>
      <c r="K105" s="27" t="inlineStr"/>
      <c r="L105" s="27" t="inlineStr"/>
      <c r="M105" s="27" t="inlineStr">
        <is>
          <t>Pending</t>
        </is>
      </c>
      <c r="N105" s="28" t="inlineStr"/>
      <c r="O105" s="27" t="inlineStr"/>
    </row>
    <row r="106" ht="16" customHeight="1" s="18">
      <c r="A106" s="20" t="inlineStr">
        <is>
          <t>53fc0d9a30f8</t>
        </is>
      </c>
      <c r="B106" s="20" t="inlineStr">
        <is>
          <t>16/02/2026</t>
        </is>
      </c>
      <c r="C106" s="20" t="inlineStr">
        <is>
          <t>Assistant Engineer - Clean Water Modelling</t>
        </is>
      </c>
      <c r="D106" s="20" t="inlineStr">
        <is>
          <t>WSP</t>
        </is>
      </c>
      <c r="E106" s="20" t="inlineStr">
        <is>
          <t>Aldwych, Central London</t>
        </is>
      </c>
      <c r="F106" s="20" t="inlineStr">
        <is>
          <t>£45,719 – £45,719</t>
        </is>
      </c>
      <c r="G106" s="20" t="inlineStr">
        <is>
          <t>Adzuna UK</t>
        </is>
      </c>
      <c r="H106" s="21" t="inlineStr">
        <is>
          <t>CONFIRMED</t>
        </is>
      </c>
      <c r="I106" s="20" t="n">
        <v>55</v>
      </c>
      <c r="J106" s="22" t="inlineStr">
        <is>
          <t>Apply Here</t>
        </is>
      </c>
      <c r="K106" s="23" t="inlineStr"/>
      <c r="L106" s="23" t="inlineStr"/>
      <c r="M106" s="23" t="inlineStr">
        <is>
          <t>Pending</t>
        </is>
      </c>
      <c r="N106" s="24" t="inlineStr"/>
      <c r="O106" s="23" t="inlineStr"/>
    </row>
    <row r="107" ht="16" customHeight="1" s="18">
      <c r="A107" s="25" t="inlineStr">
        <is>
          <t>1315d3fe67d9</t>
        </is>
      </c>
      <c r="B107" s="25" t="inlineStr">
        <is>
          <t>16/02/2026</t>
        </is>
      </c>
      <c r="C107" s="25" t="inlineStr">
        <is>
          <t>Drainage Design Engineer</t>
        </is>
      </c>
      <c r="D107" s="25" t="inlineStr">
        <is>
          <t>Pave Recruit</t>
        </is>
      </c>
      <c r="E107" s="25" t="inlineStr">
        <is>
          <t>Richmond, West London</t>
        </is>
      </c>
      <c r="F107" s="25" t="inlineStr">
        <is>
          <t>£38,000 – £44,000</t>
        </is>
      </c>
      <c r="G107" s="25" t="inlineStr">
        <is>
          <t>Adzuna UK</t>
        </is>
      </c>
      <c r="H107" s="21" t="inlineStr">
        <is>
          <t>CONFIRMED</t>
        </is>
      </c>
      <c r="I107" s="25" t="n">
        <v>55</v>
      </c>
      <c r="J107" s="26" t="inlineStr">
        <is>
          <t>Apply Here</t>
        </is>
      </c>
      <c r="K107" s="27" t="inlineStr"/>
      <c r="L107" s="27" t="inlineStr"/>
      <c r="M107" s="27" t="inlineStr">
        <is>
          <t>Pending</t>
        </is>
      </c>
      <c r="N107" s="28" t="inlineStr"/>
      <c r="O107" s="27" t="inlineStr"/>
    </row>
    <row r="108" ht="16" customHeight="1" s="18">
      <c r="A108" s="20" t="inlineStr">
        <is>
          <t>47c380e6fcde</t>
        </is>
      </c>
      <c r="B108" s="20" t="inlineStr">
        <is>
          <t>16/02/2026</t>
        </is>
      </c>
      <c r="C108" s="20" t="inlineStr">
        <is>
          <t>Pollution Response Technician</t>
        </is>
      </c>
      <c r="D108" s="20" t="inlineStr">
        <is>
          <t>Lanes Group</t>
        </is>
      </c>
      <c r="E108" s="20" t="inlineStr">
        <is>
          <t>Tudeley, Tonbridge</t>
        </is>
      </c>
      <c r="F108" s="20" t="inlineStr">
        <is>
          <t>£54,416 – £54,416</t>
        </is>
      </c>
      <c r="G108" s="20" t="inlineStr">
        <is>
          <t>Adzuna UK</t>
        </is>
      </c>
      <c r="H108" s="21" t="inlineStr">
        <is>
          <t>CONFIRMED</t>
        </is>
      </c>
      <c r="I108" s="20" t="n">
        <v>55</v>
      </c>
      <c r="J108" s="22" t="inlineStr">
        <is>
          <t>Apply Here</t>
        </is>
      </c>
      <c r="K108" s="23" t="inlineStr"/>
      <c r="L108" s="23" t="inlineStr"/>
      <c r="M108" s="23" t="inlineStr">
        <is>
          <t>Pending</t>
        </is>
      </c>
      <c r="N108" s="24" t="inlineStr"/>
      <c r="O108" s="23" t="inlineStr"/>
    </row>
    <row r="109" ht="16" customHeight="1" s="18">
      <c r="A109" s="25" t="inlineStr">
        <is>
          <t>7a727b1cff91</t>
        </is>
      </c>
      <c r="B109" s="25" t="inlineStr">
        <is>
          <t>16/02/2026</t>
        </is>
      </c>
      <c r="C109" s="25" t="inlineStr">
        <is>
          <t>Electrical Project/Design Engineer</t>
        </is>
      </c>
      <c r="D109" s="25" t="inlineStr">
        <is>
          <t>Matchtech</t>
        </is>
      </c>
      <c r="E109" s="25" t="inlineStr">
        <is>
          <t>Farringdon, Central London</t>
        </is>
      </c>
      <c r="F109" s="25" t="inlineStr">
        <is>
          <t>£40,000 – £50,000</t>
        </is>
      </c>
      <c r="G109" s="25" t="inlineStr">
        <is>
          <t>Adzuna UK</t>
        </is>
      </c>
      <c r="H109" s="21" t="inlineStr">
        <is>
          <t>CONFIRMED</t>
        </is>
      </c>
      <c r="I109" s="25" t="n">
        <v>50</v>
      </c>
      <c r="J109" s="26" t="inlineStr">
        <is>
          <t>Apply Here</t>
        </is>
      </c>
      <c r="K109" s="27" t="inlineStr"/>
      <c r="L109" s="27" t="inlineStr"/>
      <c r="M109" s="27" t="inlineStr">
        <is>
          <t>Pending</t>
        </is>
      </c>
      <c r="N109" s="28" t="inlineStr"/>
      <c r="O109" s="27" t="inlineStr"/>
    </row>
    <row r="110" ht="16" customHeight="1" s="18">
      <c r="A110" s="20" t="inlineStr">
        <is>
          <t>0021ab6a5949</t>
        </is>
      </c>
      <c r="B110" s="20" t="inlineStr">
        <is>
          <t>16/02/2026</t>
        </is>
      </c>
      <c r="C110" s="20" t="inlineStr">
        <is>
          <t>Civil Engineer (Hybrid)</t>
        </is>
      </c>
      <c r="D110" s="20" t="inlineStr">
        <is>
          <t>Ernest Gordon Recruitment</t>
        </is>
      </c>
      <c r="E110" s="20" t="inlineStr">
        <is>
          <t>Slough, Berkshire</t>
        </is>
      </c>
      <c r="F110" s="20" t="inlineStr">
        <is>
          <t>£55,000 – £55,000</t>
        </is>
      </c>
      <c r="G110" s="20" t="inlineStr">
        <is>
          <t>Adzuna UK</t>
        </is>
      </c>
      <c r="H110" s="21" t="inlineStr">
        <is>
          <t>CONFIRMED</t>
        </is>
      </c>
      <c r="I110" s="20" t="n">
        <v>50</v>
      </c>
      <c r="J110" s="22" t="inlineStr">
        <is>
          <t>Apply Here</t>
        </is>
      </c>
      <c r="K110" s="23" t="inlineStr"/>
      <c r="L110" s="23" t="inlineStr"/>
      <c r="M110" s="23" t="inlineStr">
        <is>
          <t>Pending</t>
        </is>
      </c>
      <c r="N110" s="24" t="inlineStr"/>
      <c r="O110" s="23" t="inlineStr"/>
    </row>
    <row r="111" ht="16" customHeight="1" s="18">
      <c r="A111" s="25" t="inlineStr">
        <is>
          <t>b8512fa7ac5c</t>
        </is>
      </c>
      <c r="B111" s="25" t="inlineStr">
        <is>
          <t>16/02/2026</t>
        </is>
      </c>
      <c r="C111" s="25" t="inlineStr">
        <is>
          <t>Civil Engineer Hybrid</t>
        </is>
      </c>
      <c r="D111" s="25" t="inlineStr">
        <is>
          <t>Ernest Gordon Recruitment Limited</t>
        </is>
      </c>
      <c r="E111" s="25" t="inlineStr">
        <is>
          <t>Slough, Berkshire</t>
        </is>
      </c>
      <c r="F111" s="25" t="inlineStr">
        <is>
          <t>£45,000 – £55,000</t>
        </is>
      </c>
      <c r="G111" s="25" t="inlineStr">
        <is>
          <t>Adzuna UK</t>
        </is>
      </c>
      <c r="H111" s="21" t="inlineStr">
        <is>
          <t>CONFIRMED</t>
        </is>
      </c>
      <c r="I111" s="25" t="n">
        <v>50</v>
      </c>
      <c r="J111" s="26" t="inlineStr">
        <is>
          <t>Apply Here</t>
        </is>
      </c>
      <c r="K111" s="27" t="inlineStr"/>
      <c r="L111" s="27" t="inlineStr"/>
      <c r="M111" s="27" t="inlineStr">
        <is>
          <t>Pending</t>
        </is>
      </c>
      <c r="N111" s="28" t="inlineStr"/>
      <c r="O111" s="27" t="inlineStr"/>
    </row>
    <row r="112" ht="16" customHeight="1" s="18">
      <c r="A112" s="20" t="inlineStr">
        <is>
          <t>fbf044dd1647</t>
        </is>
      </c>
      <c r="B112" s="20" t="inlineStr">
        <is>
          <t>16/02/2026</t>
        </is>
      </c>
      <c r="C112" s="20" t="inlineStr">
        <is>
          <t>Civil Engineer (Water industry)</t>
        </is>
      </c>
      <c r="D112" s="20" t="inlineStr">
        <is>
          <t>Ernest Gordon Recruitment</t>
        </is>
      </c>
      <c r="E112" s="20" t="inlineStr">
        <is>
          <t>Slough, Berkshire</t>
        </is>
      </c>
      <c r="F112" s="20" t="inlineStr">
        <is>
          <t>£55,000 – £55,000</t>
        </is>
      </c>
      <c r="G112" s="20" t="inlineStr">
        <is>
          <t>Adzuna UK</t>
        </is>
      </c>
      <c r="H112" s="21" t="inlineStr">
        <is>
          <t>CONFIRMED</t>
        </is>
      </c>
      <c r="I112" s="20" t="n">
        <v>50</v>
      </c>
      <c r="J112" s="22" t="inlineStr">
        <is>
          <t>Apply Here</t>
        </is>
      </c>
      <c r="K112" s="23" t="inlineStr"/>
      <c r="L112" s="23" t="inlineStr"/>
      <c r="M112" s="23" t="inlineStr">
        <is>
          <t>Pending</t>
        </is>
      </c>
      <c r="N112" s="24" t="inlineStr"/>
      <c r="O112" s="23" t="inlineStr"/>
    </row>
    <row r="113" ht="16" customHeight="1" s="18">
      <c r="A113" s="25" t="inlineStr">
        <is>
          <t>bb57f4bf2197</t>
        </is>
      </c>
      <c r="B113" s="25" t="inlineStr">
        <is>
          <t>16/02/2026</t>
        </is>
      </c>
      <c r="C113" s="25" t="inlineStr">
        <is>
          <t>Civil Engineer Water industry</t>
        </is>
      </c>
      <c r="D113" s="25" t="inlineStr">
        <is>
          <t>Ernest Gordon Recruitment Limited</t>
        </is>
      </c>
      <c r="E113" s="25" t="inlineStr">
        <is>
          <t>Slough, Berkshire</t>
        </is>
      </c>
      <c r="F113" s="25" t="inlineStr">
        <is>
          <t>£45,000 – £55,000</t>
        </is>
      </c>
      <c r="G113" s="25" t="inlineStr">
        <is>
          <t>Adzuna UK</t>
        </is>
      </c>
      <c r="H113" s="21" t="inlineStr">
        <is>
          <t>CONFIRMED</t>
        </is>
      </c>
      <c r="I113" s="25" t="n">
        <v>50</v>
      </c>
      <c r="J113" s="26" t="inlineStr">
        <is>
          <t>Apply Here</t>
        </is>
      </c>
      <c r="K113" s="27" t="inlineStr"/>
      <c r="L113" s="27" t="inlineStr"/>
      <c r="M113" s="27" t="inlineStr">
        <is>
          <t>Pending</t>
        </is>
      </c>
      <c r="N113" s="28" t="inlineStr"/>
      <c r="O113" s="27" t="inlineStr"/>
    </row>
    <row r="114" ht="16" customHeight="1" s="18">
      <c r="A114" s="20" t="inlineStr">
        <is>
          <t>965ea0b9704e</t>
        </is>
      </c>
      <c r="B114" s="20" t="inlineStr">
        <is>
          <t>16/02/2026</t>
        </is>
      </c>
      <c r="C114" s="20" t="inlineStr">
        <is>
          <t>Civil Engineer (Water industry)</t>
        </is>
      </c>
      <c r="D114" s="20" t="inlineStr">
        <is>
          <t>Ernest Gordon Recruitment Limited</t>
        </is>
      </c>
      <c r="E114" s="20" t="inlineStr">
        <is>
          <t>Chalvey, Slough</t>
        </is>
      </c>
      <c r="F114" s="20" t="inlineStr">
        <is>
          <t>£45,000 – £55,000</t>
        </is>
      </c>
      <c r="G114" s="20" t="inlineStr">
        <is>
          <t>Adzuna UK</t>
        </is>
      </c>
      <c r="H114" s="21" t="inlineStr">
        <is>
          <t>CONFIRMED</t>
        </is>
      </c>
      <c r="I114" s="20" t="n">
        <v>50</v>
      </c>
      <c r="J114" s="22" t="inlineStr">
        <is>
          <t>Apply Here</t>
        </is>
      </c>
      <c r="K114" s="23" t="inlineStr"/>
      <c r="L114" s="23" t="inlineStr"/>
      <c r="M114" s="23" t="inlineStr">
        <is>
          <t>Pending</t>
        </is>
      </c>
      <c r="N114" s="24" t="inlineStr"/>
      <c r="O114" s="23" t="inlineStr"/>
    </row>
    <row r="115" ht="16" customHeight="1" s="18">
      <c r="A115" s="25" t="inlineStr">
        <is>
          <t>3f8c59e3dff3</t>
        </is>
      </c>
      <c r="B115" s="25" t="inlineStr">
        <is>
          <t>16/02/2026</t>
        </is>
      </c>
      <c r="C115" s="25" t="inlineStr">
        <is>
          <t>Senior/Lead, Account Solution Engineer</t>
        </is>
      </c>
      <c r="D115" s="25" t="inlineStr">
        <is>
          <t>Salesforce</t>
        </is>
      </c>
      <c r="E115" s="25" t="inlineStr">
        <is>
          <t>London, UK</t>
        </is>
      </c>
      <c r="F115" s="25" t="inlineStr">
        <is>
          <t>£49,917 – £49,917</t>
        </is>
      </c>
      <c r="G115" s="25" t="inlineStr">
        <is>
          <t>Adzuna UK</t>
        </is>
      </c>
      <c r="H115" s="21" t="inlineStr">
        <is>
          <t>CONFIRMED</t>
        </is>
      </c>
      <c r="I115" s="25" t="n">
        <v>50</v>
      </c>
      <c r="J115" s="26" t="inlineStr">
        <is>
          <t>Apply Here</t>
        </is>
      </c>
      <c r="K115" s="27" t="inlineStr"/>
      <c r="L115" s="27" t="inlineStr"/>
      <c r="M115" s="27" t="inlineStr">
        <is>
          <t>Pending</t>
        </is>
      </c>
      <c r="N115" s="28" t="inlineStr"/>
      <c r="O115" s="27" t="inlineStr"/>
    </row>
    <row r="116" ht="16" customHeight="1" s="18">
      <c r="A116" s="20" t="inlineStr">
        <is>
          <t>97fb0cac3cb8</t>
        </is>
      </c>
      <c r="B116" s="20" t="inlineStr">
        <is>
          <t>17/02/2026</t>
        </is>
      </c>
      <c r="C116" s="20" t="inlineStr">
        <is>
          <t>Plumber</t>
        </is>
      </c>
      <c r="D116" s="20" t="inlineStr">
        <is>
          <t>WATES PROPERTY SERVICES LIMITED</t>
        </is>
      </c>
      <c r="E116" s="20" t="inlineStr">
        <is>
          <t>Crawley, West Sussex</t>
        </is>
      </c>
      <c r="F116" s="20" t="inlineStr">
        <is>
          <t>£50,654 – £50,654</t>
        </is>
      </c>
      <c r="G116" s="20" t="inlineStr">
        <is>
          <t>Adzuna UK</t>
        </is>
      </c>
      <c r="H116" s="21" t="inlineStr">
        <is>
          <t>CONFIRMED</t>
        </is>
      </c>
      <c r="I116" s="20" t="n">
        <v>70</v>
      </c>
      <c r="J116" s="22" t="inlineStr">
        <is>
          <t>Apply Here</t>
        </is>
      </c>
      <c r="K116" s="23" t="inlineStr"/>
      <c r="L116" s="23" t="inlineStr"/>
      <c r="M116" s="23" t="inlineStr">
        <is>
          <t>Pending</t>
        </is>
      </c>
      <c r="N116" s="24" t="inlineStr"/>
      <c r="O116" s="23" t="inlineStr"/>
    </row>
    <row r="117" ht="16" customHeight="1" s="18">
      <c r="A117" s="25" t="inlineStr">
        <is>
          <t>b9b64834547f</t>
        </is>
      </c>
      <c r="B117" s="25" t="inlineStr">
        <is>
          <t>17/02/2026</t>
        </is>
      </c>
      <c r="C117" s="25" t="inlineStr">
        <is>
          <t>Drainage Engineer</t>
        </is>
      </c>
      <c r="D117" s="25" t="inlineStr">
        <is>
          <t>CHARTWELL</t>
        </is>
      </c>
      <c r="E117" s="25" t="inlineStr">
        <is>
          <t>Chatham, Kent</t>
        </is>
      </c>
      <c r="F117" s="25" t="inlineStr">
        <is>
          <t>£45,000 – £45,000</t>
        </is>
      </c>
      <c r="G117" s="25" t="inlineStr">
        <is>
          <t>Adzuna UK</t>
        </is>
      </c>
      <c r="H117" s="21" t="inlineStr">
        <is>
          <t>CONFIRMED</t>
        </is>
      </c>
      <c r="I117" s="25" t="n">
        <v>70</v>
      </c>
      <c r="J117" s="26" t="inlineStr">
        <is>
          <t>Apply Here</t>
        </is>
      </c>
      <c r="K117" s="27" t="inlineStr"/>
      <c r="L117" s="27" t="inlineStr"/>
      <c r="M117" s="27" t="inlineStr">
        <is>
          <t>Pending</t>
        </is>
      </c>
      <c r="N117" s="28" t="inlineStr"/>
      <c r="O117" s="27" t="inlineStr"/>
    </row>
    <row r="118" ht="16" customHeight="1" s="18">
      <c r="A118" s="20" t="inlineStr">
        <is>
          <t>46d1b6a1751d</t>
        </is>
      </c>
      <c r="B118" s="20" t="inlineStr">
        <is>
          <t>17/02/2026</t>
        </is>
      </c>
      <c r="C118" s="20" t="inlineStr">
        <is>
          <t>Drainage Engineer</t>
        </is>
      </c>
      <c r="D118" s="20" t="inlineStr">
        <is>
          <t>Reed</t>
        </is>
      </c>
      <c r="E118" s="20" t="inlineStr">
        <is>
          <t>London, UK</t>
        </is>
      </c>
      <c r="F118" s="20" t="inlineStr">
        <is>
          <t>£40,000 – £50,000</t>
        </is>
      </c>
      <c r="G118" s="20" t="inlineStr">
        <is>
          <t>Adzuna UK</t>
        </is>
      </c>
      <c r="H118" s="21" t="inlineStr">
        <is>
          <t>CONFIRMED</t>
        </is>
      </c>
      <c r="I118" s="20" t="n">
        <v>70</v>
      </c>
      <c r="J118" s="22" t="inlineStr">
        <is>
          <t>Apply Here</t>
        </is>
      </c>
      <c r="K118" s="23" t="inlineStr"/>
      <c r="L118" s="23" t="inlineStr"/>
      <c r="M118" s="23" t="inlineStr">
        <is>
          <t>Pending</t>
        </is>
      </c>
      <c r="N118" s="24" t="inlineStr"/>
      <c r="O118" s="23" t="inlineStr"/>
    </row>
    <row r="119" ht="16" customHeight="1" s="18">
      <c r="A119" s="25" t="inlineStr">
        <is>
          <t>f52ec3519bf7</t>
        </is>
      </c>
      <c r="B119" s="25" t="inlineStr">
        <is>
          <t>17/02/2026</t>
        </is>
      </c>
      <c r="C119" s="25" t="inlineStr">
        <is>
          <t>Civil Infrastructure Engineer</t>
        </is>
      </c>
      <c r="D119" s="25" t="inlineStr">
        <is>
          <t>Zodiac Recruitment</t>
        </is>
      </c>
      <c r="E119" s="25" t="inlineStr">
        <is>
          <t>Stone Cross, Crowborough</t>
        </is>
      </c>
      <c r="F119" s="25" t="inlineStr">
        <is>
          <t>£32,000 – £44,000</t>
        </is>
      </c>
      <c r="G119" s="25" t="inlineStr">
        <is>
          <t>Adzuna UK</t>
        </is>
      </c>
      <c r="H119" s="21" t="inlineStr">
        <is>
          <t>CONFIRMED</t>
        </is>
      </c>
      <c r="I119" s="25" t="n">
        <v>70</v>
      </c>
      <c r="J119" s="26" t="inlineStr">
        <is>
          <t>Apply Here</t>
        </is>
      </c>
      <c r="K119" s="27" t="inlineStr"/>
      <c r="L119" s="27" t="inlineStr"/>
      <c r="M119" s="27" t="inlineStr">
        <is>
          <t>Pending</t>
        </is>
      </c>
      <c r="N119" s="28" t="inlineStr"/>
      <c r="O119" s="27" t="inlineStr"/>
    </row>
    <row r="120" ht="16" customHeight="1" s="18">
      <c r="A120" s="20" t="inlineStr">
        <is>
          <t>acfc93e16d1a</t>
        </is>
      </c>
      <c r="B120" s="20" t="inlineStr">
        <is>
          <t>17/02/2026</t>
        </is>
      </c>
      <c r="C120" s="20" t="inlineStr">
        <is>
          <t>Drainage Engineer</t>
        </is>
      </c>
      <c r="D120" s="20" t="inlineStr">
        <is>
          <t>Ernest Gordon Recruitment</t>
        </is>
      </c>
      <c r="E120" s="20" t="inlineStr">
        <is>
          <t>South Croydon, South East London</t>
        </is>
      </c>
      <c r="F120" s="20" t="inlineStr">
        <is>
          <t>£45,000 – £45,000</t>
        </is>
      </c>
      <c r="G120" s="20" t="inlineStr">
        <is>
          <t>Adzuna UK</t>
        </is>
      </c>
      <c r="H120" s="21" t="inlineStr">
        <is>
          <t>CONFIRMED</t>
        </is>
      </c>
      <c r="I120" s="20" t="n">
        <v>70</v>
      </c>
      <c r="J120" s="22" t="inlineStr">
        <is>
          <t>Apply Here</t>
        </is>
      </c>
      <c r="K120" s="23" t="inlineStr"/>
      <c r="L120" s="23" t="inlineStr"/>
      <c r="M120" s="23" t="inlineStr">
        <is>
          <t>Pending</t>
        </is>
      </c>
      <c r="N120" s="24" t="inlineStr"/>
      <c r="O120" s="23" t="inlineStr"/>
    </row>
    <row r="121" ht="16" customHeight="1" s="18">
      <c r="A121" s="25" t="inlineStr">
        <is>
          <t>315d35cd83ca</t>
        </is>
      </c>
      <c r="B121" s="25" t="inlineStr">
        <is>
          <t>17/02/2026</t>
        </is>
      </c>
      <c r="C121" s="25" t="inlineStr">
        <is>
          <t>Drainage Engineer</t>
        </is>
      </c>
      <c r="D121" s="25" t="inlineStr">
        <is>
          <t>Ernest Gordon Recruitment Limited</t>
        </is>
      </c>
      <c r="E121" s="25" t="inlineStr">
        <is>
          <t>South Croydon, South East London</t>
        </is>
      </c>
      <c r="F121" s="25" t="inlineStr">
        <is>
          <t>£35,000 – £45,000</t>
        </is>
      </c>
      <c r="G121" s="25" t="inlineStr">
        <is>
          <t>Adzuna UK</t>
        </is>
      </c>
      <c r="H121" s="21" t="inlineStr">
        <is>
          <t>CONFIRMED</t>
        </is>
      </c>
      <c r="I121" s="25" t="n">
        <v>70</v>
      </c>
      <c r="J121" s="26" t="inlineStr">
        <is>
          <t>Apply Here</t>
        </is>
      </c>
      <c r="K121" s="27" t="inlineStr"/>
      <c r="L121" s="27" t="inlineStr"/>
      <c r="M121" s="27" t="inlineStr">
        <is>
          <t>Pending</t>
        </is>
      </c>
      <c r="N121" s="28" t="inlineStr"/>
      <c r="O121" s="27" t="inlineStr"/>
    </row>
    <row r="122" ht="16" customHeight="1" s="18">
      <c r="A122" s="20" t="inlineStr">
        <is>
          <t>799cef8b927f</t>
        </is>
      </c>
      <c r="B122" s="20" t="inlineStr">
        <is>
          <t>17/02/2026</t>
        </is>
      </c>
      <c r="C122" s="20" t="inlineStr">
        <is>
          <t>Drainage Engineer</t>
        </is>
      </c>
      <c r="D122" s="20" t="inlineStr">
        <is>
          <t>Ernest Gordon Recruitment Limited</t>
        </is>
      </c>
      <c r="E122" s="20" t="inlineStr">
        <is>
          <t>Croydon, London</t>
        </is>
      </c>
      <c r="F122" s="20" t="inlineStr">
        <is>
          <t>£35,000 – £45,000</t>
        </is>
      </c>
      <c r="G122" s="20" t="inlineStr">
        <is>
          <t>Adzuna UK</t>
        </is>
      </c>
      <c r="H122" s="21" t="inlineStr">
        <is>
          <t>CONFIRMED</t>
        </is>
      </c>
      <c r="I122" s="20" t="n">
        <v>70</v>
      </c>
      <c r="J122" s="22" t="inlineStr">
        <is>
          <t>Apply Here</t>
        </is>
      </c>
      <c r="K122" s="23" t="inlineStr"/>
      <c r="L122" s="23" t="inlineStr"/>
      <c r="M122" s="23" t="inlineStr">
        <is>
          <t>Pending</t>
        </is>
      </c>
      <c r="N122" s="24" t="inlineStr"/>
      <c r="O122" s="23" t="inlineStr"/>
    </row>
    <row r="123" ht="16" customHeight="1" s="18">
      <c r="A123" s="25" t="inlineStr">
        <is>
          <t>6f949fe2ea72</t>
        </is>
      </c>
      <c r="B123" s="25" t="inlineStr">
        <is>
          <t>17/02/2026</t>
        </is>
      </c>
      <c r="C123" s="25" t="inlineStr">
        <is>
          <t>Mechanical Design Engineer - Water</t>
        </is>
      </c>
      <c r="D123" s="25" t="inlineStr">
        <is>
          <t>SSA Recruitment</t>
        </is>
      </c>
      <c r="E123" s="25" t="inlineStr">
        <is>
          <t>West Hampstead, North West London</t>
        </is>
      </c>
      <c r="F123" s="25" t="inlineStr">
        <is>
          <t>£55,000 – £65,000</t>
        </is>
      </c>
      <c r="G123" s="25" t="inlineStr">
        <is>
          <t>Adzuna UK</t>
        </is>
      </c>
      <c r="H123" s="21" t="inlineStr">
        <is>
          <t>CONFIRMED</t>
        </is>
      </c>
      <c r="I123" s="25" t="n">
        <v>65</v>
      </c>
      <c r="J123" s="26" t="inlineStr">
        <is>
          <t>Apply Here</t>
        </is>
      </c>
      <c r="K123" s="27" t="inlineStr"/>
      <c r="L123" s="27" t="inlineStr"/>
      <c r="M123" s="27" t="inlineStr">
        <is>
          <t>Pending</t>
        </is>
      </c>
      <c r="N123" s="28" t="inlineStr"/>
      <c r="O123" s="27" t="inlineStr"/>
    </row>
    <row r="124" ht="16" customHeight="1" s="18">
      <c r="A124" s="20" t="inlineStr">
        <is>
          <t>2093b8c37eec</t>
        </is>
      </c>
      <c r="B124" s="20" t="inlineStr">
        <is>
          <t>17/02/2026</t>
        </is>
      </c>
      <c r="C124" s="20" t="inlineStr">
        <is>
          <t>Senior Water Network Engineer/Modellers</t>
        </is>
      </c>
      <c r="D124" s="20" t="inlineStr">
        <is>
          <t>Jacobs</t>
        </is>
      </c>
      <c r="E124" s="20" t="inlineStr">
        <is>
          <t>Reading, Berkshire</t>
        </is>
      </c>
      <c r="F124" s="20" t="inlineStr">
        <is>
          <t>£50,253 – £50,253</t>
        </is>
      </c>
      <c r="G124" s="20" t="inlineStr">
        <is>
          <t>Adzuna UK</t>
        </is>
      </c>
      <c r="H124" s="21" t="inlineStr">
        <is>
          <t>CONFIRMED</t>
        </is>
      </c>
      <c r="I124" s="20" t="n">
        <v>65</v>
      </c>
      <c r="J124" s="22" t="inlineStr">
        <is>
          <t>Apply Here</t>
        </is>
      </c>
      <c r="K124" s="23" t="inlineStr"/>
      <c r="L124" s="23" t="inlineStr"/>
      <c r="M124" s="23" t="inlineStr">
        <is>
          <t>Pending</t>
        </is>
      </c>
      <c r="N124" s="24" t="inlineStr"/>
      <c r="O124" s="23" t="inlineStr"/>
    </row>
    <row r="125" ht="16" customHeight="1" s="18">
      <c r="A125" s="25" t="inlineStr">
        <is>
          <t>76cce1012360</t>
        </is>
      </c>
      <c r="B125" s="25" t="inlineStr">
        <is>
          <t>17/02/2026</t>
        </is>
      </c>
      <c r="C125" s="25" t="inlineStr">
        <is>
          <t>Hydraulics Engineers - UK Wide</t>
        </is>
      </c>
      <c r="D125" s="25" t="inlineStr">
        <is>
          <t>Jacobs</t>
        </is>
      </c>
      <c r="E125" s="25" t="inlineStr">
        <is>
          <t>Reading, Berkshire</t>
        </is>
      </c>
      <c r="F125" s="25" t="inlineStr">
        <is>
          <t>£48,252 – £48,252</t>
        </is>
      </c>
      <c r="G125" s="25" t="inlineStr">
        <is>
          <t>Adzuna UK</t>
        </is>
      </c>
      <c r="H125" s="21" t="inlineStr">
        <is>
          <t>CONFIRMED</t>
        </is>
      </c>
      <c r="I125" s="25" t="n">
        <v>65</v>
      </c>
      <c r="J125" s="26" t="inlineStr">
        <is>
          <t>Apply Here</t>
        </is>
      </c>
      <c r="K125" s="27" t="inlineStr"/>
      <c r="L125" s="27" t="inlineStr"/>
      <c r="M125" s="27" t="inlineStr">
        <is>
          <t>Pending</t>
        </is>
      </c>
      <c r="N125" s="28" t="inlineStr"/>
      <c r="O125" s="27" t="inlineStr"/>
    </row>
    <row r="126" ht="16" customHeight="1" s="18">
      <c r="A126" s="20" t="inlineStr">
        <is>
          <t>6289d8f3b250</t>
        </is>
      </c>
      <c r="B126" s="20" t="inlineStr">
        <is>
          <t>17/02/2026</t>
        </is>
      </c>
      <c r="C126" s="20" t="inlineStr">
        <is>
          <t>Hydraulics Engineers - UK Wide</t>
        </is>
      </c>
      <c r="D126" s="20" t="inlineStr">
        <is>
          <t>Jacobs</t>
        </is>
      </c>
      <c r="E126" s="20" t="inlineStr">
        <is>
          <t>London, UK</t>
        </is>
      </c>
      <c r="F126" s="20" t="inlineStr">
        <is>
          <t>£49,369 – £49,369</t>
        </is>
      </c>
      <c r="G126" s="20" t="inlineStr">
        <is>
          <t>Adzuna UK</t>
        </is>
      </c>
      <c r="H126" s="21" t="inlineStr">
        <is>
          <t>CONFIRMED</t>
        </is>
      </c>
      <c r="I126" s="20" t="n">
        <v>65</v>
      </c>
      <c r="J126" s="22" t="inlineStr">
        <is>
          <t>Apply Here</t>
        </is>
      </c>
      <c r="K126" s="23" t="inlineStr"/>
      <c r="L126" s="23" t="inlineStr"/>
      <c r="M126" s="23" t="inlineStr">
        <is>
          <t>Pending</t>
        </is>
      </c>
      <c r="N126" s="24" t="inlineStr"/>
      <c r="O126" s="23" t="inlineStr"/>
    </row>
    <row r="127" ht="16" customHeight="1" s="18">
      <c r="A127" s="25" t="inlineStr">
        <is>
          <t>bb06f938059b</t>
        </is>
      </c>
      <c r="B127" s="25" t="inlineStr">
        <is>
          <t>17/02/2026</t>
        </is>
      </c>
      <c r="C127" s="25" t="inlineStr">
        <is>
          <t>Senior Civil Engineer</t>
        </is>
      </c>
      <c r="D127" s="25" t="inlineStr">
        <is>
          <t>Penguin Recruitment</t>
        </is>
      </c>
      <c r="E127" s="25" t="inlineStr">
        <is>
          <t>Denner Hill, Great Missenden</t>
        </is>
      </c>
      <c r="F127" s="25" t="inlineStr">
        <is>
          <t>£38,000 – £60,000</t>
        </is>
      </c>
      <c r="G127" s="25" t="inlineStr">
        <is>
          <t>Adzuna UK</t>
        </is>
      </c>
      <c r="H127" s="21" t="inlineStr">
        <is>
          <t>CONFIRMED</t>
        </is>
      </c>
      <c r="I127" s="25" t="n">
        <v>60</v>
      </c>
      <c r="J127" s="26" t="inlineStr">
        <is>
          <t>Apply Here</t>
        </is>
      </c>
      <c r="K127" s="27" t="inlineStr"/>
      <c r="L127" s="27" t="inlineStr"/>
      <c r="M127" s="27" t="inlineStr">
        <is>
          <t>Pending</t>
        </is>
      </c>
      <c r="N127" s="28" t="inlineStr"/>
      <c r="O127" s="27" t="inlineStr"/>
    </row>
    <row r="128" ht="16" customHeight="1" s="18">
      <c r="A128" s="20" t="inlineStr">
        <is>
          <t>a20577b8c191</t>
        </is>
      </c>
      <c r="B128" s="20" t="inlineStr">
        <is>
          <t>17/02/2026</t>
        </is>
      </c>
      <c r="C128" s="20" t="inlineStr">
        <is>
          <t>Assistant Quantity Surveyor / Estimator - Civil Engineering</t>
        </is>
      </c>
      <c r="D128" s="20" t="inlineStr">
        <is>
          <t>Henley Chase</t>
        </is>
      </c>
      <c r="E128" s="20" t="inlineStr">
        <is>
          <t>New Haw, Addlestone</t>
        </is>
      </c>
      <c r="F128" s="20" t="inlineStr">
        <is>
          <t>£30,000 – £50,000</t>
        </is>
      </c>
      <c r="G128" s="20" t="inlineStr">
        <is>
          <t>Adzuna UK</t>
        </is>
      </c>
      <c r="H128" s="21" t="inlineStr">
        <is>
          <t>CONFIRMED</t>
        </is>
      </c>
      <c r="I128" s="20" t="n">
        <v>60</v>
      </c>
      <c r="J128" s="22" t="inlineStr">
        <is>
          <t>Apply Here</t>
        </is>
      </c>
      <c r="K128" s="23" t="inlineStr"/>
      <c r="L128" s="23" t="inlineStr"/>
      <c r="M128" s="23" t="inlineStr">
        <is>
          <t>Pending</t>
        </is>
      </c>
      <c r="N128" s="24" t="inlineStr"/>
      <c r="O128" s="23" t="inlineStr"/>
    </row>
    <row r="129" ht="16" customHeight="1" s="18">
      <c r="A129" s="25" t="inlineStr">
        <is>
          <t>d0a0ea2d4f2b</t>
        </is>
      </c>
      <c r="B129" s="25" t="inlineStr">
        <is>
          <t>17/02/2026</t>
        </is>
      </c>
      <c r="C129" s="25" t="inlineStr">
        <is>
          <t>Junior Quantity Surveyor / Estimator - Civil Engineering</t>
        </is>
      </c>
      <c r="D129" s="25" t="inlineStr">
        <is>
          <t>Henley Chase Limited</t>
        </is>
      </c>
      <c r="E129" s="25" t="inlineStr">
        <is>
          <t>Addlestone, Surrey</t>
        </is>
      </c>
      <c r="F129" s="25" t="inlineStr">
        <is>
          <t>£30,000 – £50,000</t>
        </is>
      </c>
      <c r="G129" s="25" t="inlineStr">
        <is>
          <t>Adzuna UK</t>
        </is>
      </c>
      <c r="H129" s="21" t="inlineStr">
        <is>
          <t>CONFIRMED</t>
        </is>
      </c>
      <c r="I129" s="25" t="n">
        <v>60</v>
      </c>
      <c r="J129" s="26" t="inlineStr">
        <is>
          <t>Apply Here</t>
        </is>
      </c>
      <c r="K129" s="27" t="inlineStr"/>
      <c r="L129" s="27" t="inlineStr"/>
      <c r="M129" s="27" t="inlineStr">
        <is>
          <t>Pending</t>
        </is>
      </c>
      <c r="N129" s="28" t="inlineStr"/>
      <c r="O129" s="27" t="inlineStr"/>
    </row>
    <row r="130" ht="16" customHeight="1" s="18">
      <c r="A130" s="20" t="inlineStr">
        <is>
          <t>f73131fd7fab</t>
        </is>
      </c>
      <c r="B130" s="20" t="inlineStr">
        <is>
          <t>17/02/2026</t>
        </is>
      </c>
      <c r="C130" s="20" t="inlineStr">
        <is>
          <t>Drainage Design Engineer</t>
        </is>
      </c>
      <c r="D130" s="20" t="inlineStr">
        <is>
          <t>Pave Recruit</t>
        </is>
      </c>
      <c r="E130" s="20" t="inlineStr">
        <is>
          <t>Richmond, West London</t>
        </is>
      </c>
      <c r="F130" s="20" t="inlineStr">
        <is>
          <t>£38,000 – £44,000</t>
        </is>
      </c>
      <c r="G130" s="20" t="inlineStr">
        <is>
          <t>Adzuna UK</t>
        </is>
      </c>
      <c r="H130" s="21" t="inlineStr">
        <is>
          <t>CONFIRMED</t>
        </is>
      </c>
      <c r="I130" s="20" t="n">
        <v>55</v>
      </c>
      <c r="J130" s="22" t="inlineStr">
        <is>
          <t>Apply Here</t>
        </is>
      </c>
      <c r="K130" s="23" t="inlineStr"/>
      <c r="L130" s="23" t="inlineStr"/>
      <c r="M130" s="23" t="inlineStr">
        <is>
          <t>Pending</t>
        </is>
      </c>
      <c r="N130" s="24" t="inlineStr"/>
      <c r="O130" s="23" t="inlineStr"/>
    </row>
    <row r="131" ht="16" customHeight="1" s="18">
      <c r="A131" s="25" t="inlineStr">
        <is>
          <t>2147ca886766</t>
        </is>
      </c>
      <c r="B131" s="25" t="inlineStr">
        <is>
          <t>17/02/2026</t>
        </is>
      </c>
      <c r="C131" s="25" t="inlineStr">
        <is>
          <t>Assistant Engineer - Clean Water Modelling</t>
        </is>
      </c>
      <c r="D131" s="25" t="inlineStr">
        <is>
          <t>WSP</t>
        </is>
      </c>
      <c r="E131" s="25" t="inlineStr">
        <is>
          <t>Aldwych, Central London</t>
        </is>
      </c>
      <c r="F131" s="25" t="inlineStr">
        <is>
          <t>£45,719 – £45,719</t>
        </is>
      </c>
      <c r="G131" s="25" t="inlineStr">
        <is>
          <t>Adzuna UK</t>
        </is>
      </c>
      <c r="H131" s="21" t="inlineStr">
        <is>
          <t>CONFIRMED</t>
        </is>
      </c>
      <c r="I131" s="25" t="n">
        <v>55</v>
      </c>
      <c r="J131" s="26" t="inlineStr">
        <is>
          <t>Apply Here</t>
        </is>
      </c>
      <c r="K131" s="27" t="inlineStr"/>
      <c r="L131" s="27" t="inlineStr"/>
      <c r="M131" s="27" t="inlineStr">
        <is>
          <t>Pending</t>
        </is>
      </c>
      <c r="N131" s="28" t="inlineStr"/>
      <c r="O131" s="27" t="inlineStr"/>
    </row>
    <row r="132" ht="16" customHeight="1" s="18">
      <c r="A132" s="20" t="inlineStr">
        <is>
          <t>c047ce542799</t>
        </is>
      </c>
      <c r="B132" s="20" t="inlineStr">
        <is>
          <t>17/02/2026</t>
        </is>
      </c>
      <c r="C132" s="20" t="inlineStr">
        <is>
          <t>HGV Class 2 Tanker Driver – Drainage</t>
        </is>
      </c>
      <c r="D132" s="20" t="inlineStr">
        <is>
          <t>Excellis Consultancy</t>
        </is>
      </c>
      <c r="E132" s="20" t="inlineStr">
        <is>
          <t>Riverhead, Sevenoaks</t>
        </is>
      </c>
      <c r="F132" s="20" t="inlineStr">
        <is>
          <t>£45,000 – £48,000</t>
        </is>
      </c>
      <c r="G132" s="20" t="inlineStr">
        <is>
          <t>Adzuna UK</t>
        </is>
      </c>
      <c r="H132" s="21" t="inlineStr">
        <is>
          <t>CONFIRMED</t>
        </is>
      </c>
      <c r="I132" s="20" t="n">
        <v>55</v>
      </c>
      <c r="J132" s="22" t="inlineStr">
        <is>
          <t>Apply Here</t>
        </is>
      </c>
      <c r="K132" s="23" t="inlineStr"/>
      <c r="L132" s="23" t="inlineStr"/>
      <c r="M132" s="23" t="inlineStr">
        <is>
          <t>Pending</t>
        </is>
      </c>
      <c r="N132" s="24" t="inlineStr"/>
      <c r="O132" s="23" t="inlineStr"/>
    </row>
    <row r="133" ht="16" customHeight="1" s="18">
      <c r="A133" s="25" t="inlineStr">
        <is>
          <t>ecedc8c6c270</t>
        </is>
      </c>
      <c r="B133" s="25" t="inlineStr">
        <is>
          <t>17/02/2026</t>
        </is>
      </c>
      <c r="C133" s="25" t="inlineStr">
        <is>
          <t>Drainage Design Engineer</t>
        </is>
      </c>
      <c r="D133" s="25" t="inlineStr">
        <is>
          <t>Pave Recruit</t>
        </is>
      </c>
      <c r="E133" s="25" t="inlineStr">
        <is>
          <t>Richmond, West London</t>
        </is>
      </c>
      <c r="F133" s="25" t="inlineStr">
        <is>
          <t>£38,000 – £44,000</t>
        </is>
      </c>
      <c r="G133" s="25" t="inlineStr">
        <is>
          <t>Adzuna UK</t>
        </is>
      </c>
      <c r="H133" s="21" t="inlineStr">
        <is>
          <t>CONFIRMED</t>
        </is>
      </c>
      <c r="I133" s="25" t="n">
        <v>55</v>
      </c>
      <c r="J133" s="26" t="inlineStr">
        <is>
          <t>Apply Here</t>
        </is>
      </c>
      <c r="K133" s="27" t="inlineStr"/>
      <c r="L133" s="27" t="inlineStr"/>
      <c r="M133" s="27" t="inlineStr">
        <is>
          <t>Pending</t>
        </is>
      </c>
      <c r="N133" s="28" t="inlineStr"/>
      <c r="O133" s="27" t="inlineStr"/>
    </row>
    <row r="134" ht="16" customHeight="1" s="18">
      <c r="A134" s="20" t="inlineStr">
        <is>
          <t>820b34b178cc</t>
        </is>
      </c>
      <c r="B134" s="20" t="inlineStr">
        <is>
          <t>17/02/2026</t>
        </is>
      </c>
      <c r="C134" s="20" t="inlineStr">
        <is>
          <t>Pollution Response Technician</t>
        </is>
      </c>
      <c r="D134" s="20" t="inlineStr">
        <is>
          <t>Lanes Group</t>
        </is>
      </c>
      <c r="E134" s="20" t="inlineStr">
        <is>
          <t>Tudeley, Tonbridge</t>
        </is>
      </c>
      <c r="F134" s="20" t="inlineStr">
        <is>
          <t>£54,416 – £54,416</t>
        </is>
      </c>
      <c r="G134" s="20" t="inlineStr">
        <is>
          <t>Adzuna UK</t>
        </is>
      </c>
      <c r="H134" s="21" t="inlineStr">
        <is>
          <t>CONFIRMED</t>
        </is>
      </c>
      <c r="I134" s="20" t="n">
        <v>55</v>
      </c>
      <c r="J134" s="22" t="inlineStr">
        <is>
          <t>Apply Here</t>
        </is>
      </c>
      <c r="K134" s="23" t="inlineStr"/>
      <c r="L134" s="23" t="inlineStr"/>
      <c r="M134" s="23" t="inlineStr">
        <is>
          <t>Pending</t>
        </is>
      </c>
      <c r="N134" s="24" t="inlineStr"/>
      <c r="O134" s="23" t="inlineStr"/>
    </row>
    <row r="135" ht="16" customHeight="1" s="18">
      <c r="A135" s="25" t="inlineStr">
        <is>
          <t>4baf7c4c5bbd</t>
        </is>
      </c>
      <c r="B135" s="25" t="inlineStr">
        <is>
          <t>17/02/2026</t>
        </is>
      </c>
      <c r="C135" s="25" t="inlineStr">
        <is>
          <t>Electrical Project/Design Engineer</t>
        </is>
      </c>
      <c r="D135" s="25" t="inlineStr">
        <is>
          <t>Matchtech</t>
        </is>
      </c>
      <c r="E135" s="25" t="inlineStr">
        <is>
          <t>Farringdon, Central London</t>
        </is>
      </c>
      <c r="F135" s="25" t="inlineStr">
        <is>
          <t>£40,000 – £50,000</t>
        </is>
      </c>
      <c r="G135" s="25" t="inlineStr">
        <is>
          <t>Adzuna UK</t>
        </is>
      </c>
      <c r="H135" s="21" t="inlineStr">
        <is>
          <t>CONFIRMED</t>
        </is>
      </c>
      <c r="I135" s="25" t="n">
        <v>50</v>
      </c>
      <c r="J135" s="26" t="inlineStr">
        <is>
          <t>Apply Here</t>
        </is>
      </c>
      <c r="K135" s="27" t="inlineStr"/>
      <c r="L135" s="27" t="inlineStr"/>
      <c r="M135" s="27" t="inlineStr">
        <is>
          <t>Pending</t>
        </is>
      </c>
      <c r="N135" s="28" t="inlineStr"/>
      <c r="O135" s="27" t="inlineStr"/>
    </row>
    <row r="136" ht="16" customHeight="1" s="18">
      <c r="A136" s="20" t="inlineStr">
        <is>
          <t>6e00d0b66737</t>
        </is>
      </c>
      <c r="B136" s="20" t="inlineStr">
        <is>
          <t>17/02/2026</t>
        </is>
      </c>
      <c r="C136" s="20" t="inlineStr">
        <is>
          <t>Civil Engineer (Hybrid)</t>
        </is>
      </c>
      <c r="D136" s="20" t="inlineStr">
        <is>
          <t>Ernest Gordon Recruitment</t>
        </is>
      </c>
      <c r="E136" s="20" t="inlineStr">
        <is>
          <t>Slough, Berkshire</t>
        </is>
      </c>
      <c r="F136" s="20" t="inlineStr">
        <is>
          <t>£55,000 – £55,000</t>
        </is>
      </c>
      <c r="G136" s="20" t="inlineStr">
        <is>
          <t>Adzuna UK</t>
        </is>
      </c>
      <c r="H136" s="21" t="inlineStr">
        <is>
          <t>CONFIRMED</t>
        </is>
      </c>
      <c r="I136" s="20" t="n">
        <v>50</v>
      </c>
      <c r="J136" s="22" t="inlineStr">
        <is>
          <t>Apply Here</t>
        </is>
      </c>
      <c r="K136" s="23" t="inlineStr"/>
      <c r="L136" s="23" t="inlineStr"/>
      <c r="M136" s="23" t="inlineStr">
        <is>
          <t>Pending</t>
        </is>
      </c>
      <c r="N136" s="24" t="inlineStr"/>
      <c r="O136" s="23" t="inlineStr"/>
    </row>
    <row r="137" ht="16" customHeight="1" s="18">
      <c r="A137" s="25" t="inlineStr">
        <is>
          <t>ccee00df94ed</t>
        </is>
      </c>
      <c r="B137" s="25" t="inlineStr">
        <is>
          <t>17/02/2026</t>
        </is>
      </c>
      <c r="C137" s="25" t="inlineStr">
        <is>
          <t>Civil Engineer Hybrid</t>
        </is>
      </c>
      <c r="D137" s="25" t="inlineStr">
        <is>
          <t>Ernest Gordon Recruitment Limited</t>
        </is>
      </c>
      <c r="E137" s="25" t="inlineStr">
        <is>
          <t>Slough, Berkshire</t>
        </is>
      </c>
      <c r="F137" s="25" t="inlineStr">
        <is>
          <t>£45,000 – £55,000</t>
        </is>
      </c>
      <c r="G137" s="25" t="inlineStr">
        <is>
          <t>Adzuna UK</t>
        </is>
      </c>
      <c r="H137" s="21" t="inlineStr">
        <is>
          <t>CONFIRMED</t>
        </is>
      </c>
      <c r="I137" s="25" t="n">
        <v>50</v>
      </c>
      <c r="J137" s="26" t="inlineStr">
        <is>
          <t>Apply Here</t>
        </is>
      </c>
      <c r="K137" s="27" t="inlineStr"/>
      <c r="L137" s="27" t="inlineStr"/>
      <c r="M137" s="27" t="inlineStr">
        <is>
          <t>Pending</t>
        </is>
      </c>
      <c r="N137" s="28" t="inlineStr"/>
      <c r="O137" s="27" t="inlineStr"/>
    </row>
    <row r="138" ht="16" customHeight="1" s="18">
      <c r="A138" s="20" t="inlineStr">
        <is>
          <t>9c595afe7c31</t>
        </is>
      </c>
      <c r="B138" s="20" t="inlineStr">
        <is>
          <t>17/02/2026</t>
        </is>
      </c>
      <c r="C138" s="20" t="inlineStr">
        <is>
          <t>Civil Engineer Water industry</t>
        </is>
      </c>
      <c r="D138" s="20" t="inlineStr">
        <is>
          <t>Ernest Gordon Recruitment Limited</t>
        </is>
      </c>
      <c r="E138" s="20" t="inlineStr">
        <is>
          <t>Slough, Berkshire</t>
        </is>
      </c>
      <c r="F138" s="20" t="inlineStr">
        <is>
          <t>£45,000 – £55,000</t>
        </is>
      </c>
      <c r="G138" s="20" t="inlineStr">
        <is>
          <t>Adzuna UK</t>
        </is>
      </c>
      <c r="H138" s="21" t="inlineStr">
        <is>
          <t>CONFIRMED</t>
        </is>
      </c>
      <c r="I138" s="20" t="n">
        <v>50</v>
      </c>
      <c r="J138" s="22" t="inlineStr">
        <is>
          <t>Apply Here</t>
        </is>
      </c>
      <c r="K138" s="23" t="inlineStr"/>
      <c r="L138" s="23" t="inlineStr"/>
      <c r="M138" s="23" t="inlineStr">
        <is>
          <t>Pending</t>
        </is>
      </c>
      <c r="N138" s="24" t="inlineStr"/>
      <c r="O138" s="23" t="inlineStr"/>
    </row>
    <row r="139" ht="16" customHeight="1" s="18">
      <c r="A139" s="25" t="inlineStr">
        <is>
          <t>701e684e596a</t>
        </is>
      </c>
      <c r="B139" s="25" t="inlineStr">
        <is>
          <t>17/02/2026</t>
        </is>
      </c>
      <c r="C139" s="25" t="inlineStr">
        <is>
          <t>Civil Engineer (Water industry)</t>
        </is>
      </c>
      <c r="D139" s="25" t="inlineStr">
        <is>
          <t>Ernest Gordon Recruitment</t>
        </is>
      </c>
      <c r="E139" s="25" t="inlineStr">
        <is>
          <t>Slough, Berkshire</t>
        </is>
      </c>
      <c r="F139" s="25" t="inlineStr">
        <is>
          <t>£55,000 – £55,000</t>
        </is>
      </c>
      <c r="G139" s="25" t="inlineStr">
        <is>
          <t>Adzuna UK</t>
        </is>
      </c>
      <c r="H139" s="21" t="inlineStr">
        <is>
          <t>CONFIRMED</t>
        </is>
      </c>
      <c r="I139" s="25" t="n">
        <v>50</v>
      </c>
      <c r="J139" s="26" t="inlineStr">
        <is>
          <t>Apply Here</t>
        </is>
      </c>
      <c r="K139" s="27" t="inlineStr"/>
      <c r="L139" s="27" t="inlineStr"/>
      <c r="M139" s="27" t="inlineStr">
        <is>
          <t>Pending</t>
        </is>
      </c>
      <c r="N139" s="28" t="inlineStr"/>
      <c r="O139" s="27" t="inlineStr"/>
    </row>
    <row r="140" ht="16" customHeight="1" s="18">
      <c r="A140" s="20" t="inlineStr">
        <is>
          <t>f14280a845da</t>
        </is>
      </c>
      <c r="B140" s="20" t="inlineStr">
        <is>
          <t>18/02/2026</t>
        </is>
      </c>
      <c r="C140" s="20" t="inlineStr">
        <is>
          <t>Plumber</t>
        </is>
      </c>
      <c r="D140" s="20" t="inlineStr">
        <is>
          <t>WATES PROPERTY SERVICES LIMITED</t>
        </is>
      </c>
      <c r="E140" s="20" t="inlineStr">
        <is>
          <t>Crawley, West Sussex</t>
        </is>
      </c>
      <c r="F140" s="20" t="inlineStr">
        <is>
          <t>£50,654 – £50,654</t>
        </is>
      </c>
      <c r="G140" s="20" t="inlineStr">
        <is>
          <t>Adzuna UK</t>
        </is>
      </c>
      <c r="H140" s="21" t="inlineStr">
        <is>
          <t>CONFIRMED</t>
        </is>
      </c>
      <c r="I140" s="20" t="n">
        <v>70</v>
      </c>
      <c r="J140" s="22" t="inlineStr">
        <is>
          <t>Apply Here</t>
        </is>
      </c>
      <c r="K140" s="23" t="inlineStr"/>
      <c r="L140" s="23" t="inlineStr"/>
      <c r="M140" s="23" t="inlineStr">
        <is>
          <t>Pending</t>
        </is>
      </c>
      <c r="N140" s="24" t="inlineStr"/>
      <c r="O140" s="23" t="inlineStr"/>
    </row>
    <row r="141" ht="16" customHeight="1" s="18">
      <c r="A141" s="25" t="inlineStr">
        <is>
          <t>78dd66f6601b</t>
        </is>
      </c>
      <c r="B141" s="25" t="inlineStr">
        <is>
          <t>18/02/2026</t>
        </is>
      </c>
      <c r="C141" s="25" t="inlineStr">
        <is>
          <t>Drainage Engineer</t>
        </is>
      </c>
      <c r="D141" s="25" t="inlineStr">
        <is>
          <t>CHARTWELL</t>
        </is>
      </c>
      <c r="E141" s="25" t="inlineStr">
        <is>
          <t>Chatham, Kent</t>
        </is>
      </c>
      <c r="F141" s="25" t="inlineStr">
        <is>
          <t>£45,000 – £45,000</t>
        </is>
      </c>
      <c r="G141" s="25" t="inlineStr">
        <is>
          <t>Adzuna UK</t>
        </is>
      </c>
      <c r="H141" s="21" t="inlineStr">
        <is>
          <t>CONFIRMED</t>
        </is>
      </c>
      <c r="I141" s="25" t="n">
        <v>70</v>
      </c>
      <c r="J141" s="26" t="inlineStr">
        <is>
          <t>Apply Here</t>
        </is>
      </c>
      <c r="K141" s="27" t="inlineStr"/>
      <c r="L141" s="27" t="inlineStr"/>
      <c r="M141" s="27" t="inlineStr">
        <is>
          <t>Pending</t>
        </is>
      </c>
      <c r="N141" s="28" t="inlineStr"/>
      <c r="O141" s="27" t="inlineStr"/>
    </row>
    <row r="142" ht="16" customHeight="1" s="18">
      <c r="A142" s="20" t="inlineStr">
        <is>
          <t>0b3ab94ba52b</t>
        </is>
      </c>
      <c r="B142" s="20" t="inlineStr">
        <is>
          <t>18/02/2026</t>
        </is>
      </c>
      <c r="C142" s="20" t="inlineStr">
        <is>
          <t>Drainage Engineer</t>
        </is>
      </c>
      <c r="D142" s="20" t="inlineStr">
        <is>
          <t>Reed</t>
        </is>
      </c>
      <c r="E142" s="20" t="inlineStr">
        <is>
          <t>London, UK</t>
        </is>
      </c>
      <c r="F142" s="20" t="inlineStr">
        <is>
          <t>£40,000 – £50,000</t>
        </is>
      </c>
      <c r="G142" s="20" t="inlineStr">
        <is>
          <t>Adzuna UK</t>
        </is>
      </c>
      <c r="H142" s="21" t="inlineStr">
        <is>
          <t>CONFIRMED</t>
        </is>
      </c>
      <c r="I142" s="20" t="n">
        <v>70</v>
      </c>
      <c r="J142" s="22" t="inlineStr">
        <is>
          <t>Apply Here</t>
        </is>
      </c>
      <c r="K142" s="23" t="inlineStr"/>
      <c r="L142" s="23" t="inlineStr"/>
      <c r="M142" s="23" t="inlineStr">
        <is>
          <t>Pending</t>
        </is>
      </c>
      <c r="N142" s="24" t="inlineStr"/>
      <c r="O142" s="23" t="inlineStr"/>
    </row>
    <row r="143" ht="16" customHeight="1" s="18">
      <c r="A143" s="25" t="inlineStr">
        <is>
          <t>364f3b0e4e25</t>
        </is>
      </c>
      <c r="B143" s="25" t="inlineStr">
        <is>
          <t>18/02/2026</t>
        </is>
      </c>
      <c r="C143" s="25" t="inlineStr">
        <is>
          <t>Civil Infrastructure Engineer</t>
        </is>
      </c>
      <c r="D143" s="25" t="inlineStr">
        <is>
          <t>Zodiac Recruitment</t>
        </is>
      </c>
      <c r="E143" s="25" t="inlineStr">
        <is>
          <t>Stone Cross, Crowborough</t>
        </is>
      </c>
      <c r="F143" s="25" t="inlineStr">
        <is>
          <t>£32,000 – £44,000</t>
        </is>
      </c>
      <c r="G143" s="25" t="inlineStr">
        <is>
          <t>Adzuna UK</t>
        </is>
      </c>
      <c r="H143" s="21" t="inlineStr">
        <is>
          <t>CONFIRMED</t>
        </is>
      </c>
      <c r="I143" s="25" t="n">
        <v>70</v>
      </c>
      <c r="J143" s="26" t="inlineStr">
        <is>
          <t>Apply Here</t>
        </is>
      </c>
      <c r="K143" s="27" t="inlineStr"/>
      <c r="L143" s="27" t="inlineStr"/>
      <c r="M143" s="27" t="inlineStr">
        <is>
          <t>Pending</t>
        </is>
      </c>
      <c r="N143" s="28" t="inlineStr"/>
      <c r="O143" s="27" t="inlineStr"/>
    </row>
    <row r="144" ht="16" customHeight="1" s="18">
      <c r="A144" s="20" t="inlineStr">
        <is>
          <t>512db54969ff</t>
        </is>
      </c>
      <c r="B144" s="20" t="inlineStr">
        <is>
          <t>18/02/2026</t>
        </is>
      </c>
      <c r="C144" s="20" t="inlineStr">
        <is>
          <t>Drainage Engineer</t>
        </is>
      </c>
      <c r="D144" s="20" t="inlineStr">
        <is>
          <t>Ernest Gordon Recruitment</t>
        </is>
      </c>
      <c r="E144" s="20" t="inlineStr">
        <is>
          <t>South Croydon, South East London</t>
        </is>
      </c>
      <c r="F144" s="20" t="inlineStr">
        <is>
          <t>£45,000 – £45,000</t>
        </is>
      </c>
      <c r="G144" s="20" t="inlineStr">
        <is>
          <t>Adzuna UK</t>
        </is>
      </c>
      <c r="H144" s="21" t="inlineStr">
        <is>
          <t>CONFIRMED</t>
        </is>
      </c>
      <c r="I144" s="20" t="n">
        <v>70</v>
      </c>
      <c r="J144" s="22" t="inlineStr">
        <is>
          <t>Apply Here</t>
        </is>
      </c>
      <c r="K144" s="23" t="inlineStr"/>
      <c r="L144" s="23" t="inlineStr"/>
      <c r="M144" s="23" t="inlineStr">
        <is>
          <t>Pending</t>
        </is>
      </c>
      <c r="N144" s="24" t="inlineStr"/>
      <c r="O144" s="23" t="inlineStr"/>
    </row>
    <row r="145" ht="16" customHeight="1" s="18">
      <c r="A145" s="25" t="inlineStr">
        <is>
          <t>010c53a0f057</t>
        </is>
      </c>
      <c r="B145" s="25" t="inlineStr">
        <is>
          <t>18/02/2026</t>
        </is>
      </c>
      <c r="C145" s="25" t="inlineStr">
        <is>
          <t>Drainage Engineer</t>
        </is>
      </c>
      <c r="D145" s="25" t="inlineStr">
        <is>
          <t>Ernest Gordon Recruitment Limited</t>
        </is>
      </c>
      <c r="E145" s="25" t="inlineStr">
        <is>
          <t>South Croydon, South East London</t>
        </is>
      </c>
      <c r="F145" s="25" t="inlineStr">
        <is>
          <t>£35,000 – £45,000</t>
        </is>
      </c>
      <c r="G145" s="25" t="inlineStr">
        <is>
          <t>Adzuna UK</t>
        </is>
      </c>
      <c r="H145" s="21" t="inlineStr">
        <is>
          <t>CONFIRMED</t>
        </is>
      </c>
      <c r="I145" s="25" t="n">
        <v>70</v>
      </c>
      <c r="J145" s="26" t="inlineStr">
        <is>
          <t>Apply Here</t>
        </is>
      </c>
      <c r="K145" s="27" t="inlineStr"/>
      <c r="L145" s="27" t="inlineStr"/>
      <c r="M145" s="27" t="inlineStr">
        <is>
          <t>Pending</t>
        </is>
      </c>
      <c r="N145" s="28" t="inlineStr"/>
      <c r="O145" s="27" t="inlineStr"/>
    </row>
    <row r="146" ht="16" customHeight="1" s="18">
      <c r="A146" s="20" t="inlineStr">
        <is>
          <t>6beb7a9fb901</t>
        </is>
      </c>
      <c r="B146" s="20" t="inlineStr">
        <is>
          <t>18/02/2026</t>
        </is>
      </c>
      <c r="C146" s="20" t="inlineStr">
        <is>
          <t>Drainage Engineer</t>
        </is>
      </c>
      <c r="D146" s="20" t="inlineStr">
        <is>
          <t>Ernest Gordon Recruitment Limited</t>
        </is>
      </c>
      <c r="E146" s="20" t="inlineStr">
        <is>
          <t>Croydon, London</t>
        </is>
      </c>
      <c r="F146" s="20" t="inlineStr">
        <is>
          <t>£35,000 – £45,000</t>
        </is>
      </c>
      <c r="G146" s="20" t="inlineStr">
        <is>
          <t>Adzuna UK</t>
        </is>
      </c>
      <c r="H146" s="21" t="inlineStr">
        <is>
          <t>CONFIRMED</t>
        </is>
      </c>
      <c r="I146" s="20" t="n">
        <v>70</v>
      </c>
      <c r="J146" s="22" t="inlineStr">
        <is>
          <t>Apply Here</t>
        </is>
      </c>
      <c r="K146" s="23" t="inlineStr"/>
      <c r="L146" s="23" t="inlineStr"/>
      <c r="M146" s="23" t="inlineStr">
        <is>
          <t>Pending</t>
        </is>
      </c>
      <c r="N146" s="24" t="inlineStr"/>
      <c r="O146" s="23" t="inlineStr"/>
    </row>
    <row r="147" ht="16" customHeight="1" s="18">
      <c r="A147" s="25" t="inlineStr">
        <is>
          <t>2557e9d8c609</t>
        </is>
      </c>
      <c r="B147" s="25" t="inlineStr">
        <is>
          <t>18/02/2026</t>
        </is>
      </c>
      <c r="C147" s="25" t="inlineStr">
        <is>
          <t>Senior Water Network Engineer/Modellers</t>
        </is>
      </c>
      <c r="D147" s="25" t="inlineStr">
        <is>
          <t>Jacobs</t>
        </is>
      </c>
      <c r="E147" s="25" t="inlineStr">
        <is>
          <t>Reading, Berkshire</t>
        </is>
      </c>
      <c r="F147" s="25" t="inlineStr">
        <is>
          <t>£50,253 – £50,253</t>
        </is>
      </c>
      <c r="G147" s="25" t="inlineStr">
        <is>
          <t>Adzuna UK</t>
        </is>
      </c>
      <c r="H147" s="21" t="inlineStr">
        <is>
          <t>CONFIRMED</t>
        </is>
      </c>
      <c r="I147" s="25" t="n">
        <v>65</v>
      </c>
      <c r="J147" s="26" t="inlineStr">
        <is>
          <t>Apply Here</t>
        </is>
      </c>
      <c r="K147" s="27" t="inlineStr"/>
      <c r="L147" s="27" t="inlineStr"/>
      <c r="M147" s="27" t="inlineStr">
        <is>
          <t>Pending</t>
        </is>
      </c>
      <c r="N147" s="28" t="inlineStr"/>
      <c r="O147" s="27" t="inlineStr"/>
    </row>
    <row r="148" ht="16" customHeight="1" s="18">
      <c r="A148" s="20" t="inlineStr">
        <is>
          <t>96e34547a9e5</t>
        </is>
      </c>
      <c r="B148" s="20" t="inlineStr">
        <is>
          <t>18/02/2026</t>
        </is>
      </c>
      <c r="C148" s="20" t="inlineStr">
        <is>
          <t>Hydraulics Engineers - UK Wide</t>
        </is>
      </c>
      <c r="D148" s="20" t="inlineStr">
        <is>
          <t>Jacobs</t>
        </is>
      </c>
      <c r="E148" s="20" t="inlineStr">
        <is>
          <t>Reading, Berkshire</t>
        </is>
      </c>
      <c r="F148" s="20" t="inlineStr">
        <is>
          <t>£48,252 – £48,252</t>
        </is>
      </c>
      <c r="G148" s="20" t="inlineStr">
        <is>
          <t>Adzuna UK</t>
        </is>
      </c>
      <c r="H148" s="21" t="inlineStr">
        <is>
          <t>CONFIRMED</t>
        </is>
      </c>
      <c r="I148" s="20" t="n">
        <v>65</v>
      </c>
      <c r="J148" s="22" t="inlineStr">
        <is>
          <t>Apply Here</t>
        </is>
      </c>
      <c r="K148" s="23" t="inlineStr"/>
      <c r="L148" s="23" t="inlineStr"/>
      <c r="M148" s="23" t="inlineStr">
        <is>
          <t>Pending</t>
        </is>
      </c>
      <c r="N148" s="24" t="inlineStr"/>
      <c r="O148" s="23" t="inlineStr"/>
    </row>
    <row r="149" ht="16" customHeight="1" s="18">
      <c r="A149" s="25" t="inlineStr">
        <is>
          <t>361042e68b9e</t>
        </is>
      </c>
      <c r="B149" s="25" t="inlineStr">
        <is>
          <t>18/02/2026</t>
        </is>
      </c>
      <c r="C149" s="25" t="inlineStr">
        <is>
          <t>Hydraulics Engineers - UK Wide</t>
        </is>
      </c>
      <c r="D149" s="25" t="inlineStr">
        <is>
          <t>Jacobs</t>
        </is>
      </c>
      <c r="E149" s="25" t="inlineStr">
        <is>
          <t>London, UK</t>
        </is>
      </c>
      <c r="F149" s="25" t="inlineStr">
        <is>
          <t>£49,369 – £49,369</t>
        </is>
      </c>
      <c r="G149" s="25" t="inlineStr">
        <is>
          <t>Adzuna UK</t>
        </is>
      </c>
      <c r="H149" s="21" t="inlineStr">
        <is>
          <t>CONFIRMED</t>
        </is>
      </c>
      <c r="I149" s="25" t="n">
        <v>65</v>
      </c>
      <c r="J149" s="26" t="inlineStr">
        <is>
          <t>Apply Here</t>
        </is>
      </c>
      <c r="K149" s="27" t="inlineStr"/>
      <c r="L149" s="27" t="inlineStr"/>
      <c r="M149" s="27" t="inlineStr">
        <is>
          <t>Pending</t>
        </is>
      </c>
      <c r="N149" s="28" t="inlineStr"/>
      <c r="O149" s="27" t="inlineStr"/>
    </row>
    <row r="150" ht="16" customHeight="1" s="18">
      <c r="A150" s="20" t="inlineStr">
        <is>
          <t>07a222444bb4</t>
        </is>
      </c>
      <c r="B150" s="20" t="inlineStr">
        <is>
          <t>18/02/2026</t>
        </is>
      </c>
      <c r="C150" s="20" t="inlineStr">
        <is>
          <t>Senior Civil Engineer</t>
        </is>
      </c>
      <c r="D150" s="20" t="inlineStr">
        <is>
          <t>Penguin Recruitment</t>
        </is>
      </c>
      <c r="E150" s="20" t="inlineStr">
        <is>
          <t>Denner Hill, Great Missenden</t>
        </is>
      </c>
      <c r="F150" s="20" t="inlineStr">
        <is>
          <t>£38,000 – £60,000</t>
        </is>
      </c>
      <c r="G150" s="20" t="inlineStr">
        <is>
          <t>Adzuna UK</t>
        </is>
      </c>
      <c r="H150" s="21" t="inlineStr">
        <is>
          <t>CONFIRMED</t>
        </is>
      </c>
      <c r="I150" s="20" t="n">
        <v>60</v>
      </c>
      <c r="J150" s="22" t="inlineStr">
        <is>
          <t>Apply Here</t>
        </is>
      </c>
      <c r="K150" s="23" t="inlineStr"/>
      <c r="L150" s="23" t="inlineStr"/>
      <c r="M150" s="23" t="inlineStr">
        <is>
          <t>Pending</t>
        </is>
      </c>
      <c r="N150" s="24" t="inlineStr"/>
      <c r="O150" s="23" t="inlineStr"/>
    </row>
    <row r="151" ht="16" customHeight="1" s="18">
      <c r="A151" s="25" t="inlineStr">
        <is>
          <t>04ece1d79179</t>
        </is>
      </c>
      <c r="B151" s="25" t="inlineStr">
        <is>
          <t>18/02/2026</t>
        </is>
      </c>
      <c r="C151" s="25" t="inlineStr">
        <is>
          <t>Assistant Quantity Surveyor / Estimator - Civil Engineering</t>
        </is>
      </c>
      <c r="D151" s="25" t="inlineStr">
        <is>
          <t>Henley Chase</t>
        </is>
      </c>
      <c r="E151" s="25" t="inlineStr">
        <is>
          <t>New Haw, Addlestone</t>
        </is>
      </c>
      <c r="F151" s="25" t="inlineStr">
        <is>
          <t>£30,000 – £50,000</t>
        </is>
      </c>
      <c r="G151" s="25" t="inlineStr">
        <is>
          <t>Adzuna UK</t>
        </is>
      </c>
      <c r="H151" s="21" t="inlineStr">
        <is>
          <t>CONFIRMED</t>
        </is>
      </c>
      <c r="I151" s="25" t="n">
        <v>60</v>
      </c>
      <c r="J151" s="26" t="inlineStr">
        <is>
          <t>Apply Here</t>
        </is>
      </c>
      <c r="K151" s="27" t="inlineStr"/>
      <c r="L151" s="27" t="inlineStr"/>
      <c r="M151" s="27" t="inlineStr">
        <is>
          <t>Pending</t>
        </is>
      </c>
      <c r="N151" s="28" t="inlineStr"/>
      <c r="O151" s="27" t="inlineStr"/>
    </row>
    <row r="152" ht="16" customHeight="1" s="18">
      <c r="A152" s="20" t="inlineStr">
        <is>
          <t>b673e5db5235</t>
        </is>
      </c>
      <c r="B152" s="20" t="inlineStr">
        <is>
          <t>18/02/2026</t>
        </is>
      </c>
      <c r="C152" s="20" t="inlineStr">
        <is>
          <t>Junior Quantity Surveyor / Estimator - Civil Engineering</t>
        </is>
      </c>
      <c r="D152" s="20" t="inlineStr">
        <is>
          <t>Henley Chase Limited</t>
        </is>
      </c>
      <c r="E152" s="20" t="inlineStr">
        <is>
          <t>Addlestone, Surrey</t>
        </is>
      </c>
      <c r="F152" s="20" t="inlineStr">
        <is>
          <t>£30,000 – £50,000</t>
        </is>
      </c>
      <c r="G152" s="20" t="inlineStr">
        <is>
          <t>Adzuna UK</t>
        </is>
      </c>
      <c r="H152" s="21" t="inlineStr">
        <is>
          <t>CONFIRMED</t>
        </is>
      </c>
      <c r="I152" s="20" t="n">
        <v>60</v>
      </c>
      <c r="J152" s="22" t="inlineStr">
        <is>
          <t>Apply Here</t>
        </is>
      </c>
      <c r="K152" s="23" t="inlineStr"/>
      <c r="L152" s="23" t="inlineStr"/>
      <c r="M152" s="23" t="inlineStr">
        <is>
          <t>Pending</t>
        </is>
      </c>
      <c r="N152" s="24" t="inlineStr"/>
      <c r="O152" s="23" t="inlineStr"/>
    </row>
    <row r="153" ht="16" customHeight="1" s="18">
      <c r="A153" s="25" t="inlineStr">
        <is>
          <t>017fd8d32724</t>
        </is>
      </c>
      <c r="B153" s="25" t="inlineStr">
        <is>
          <t>18/02/2026</t>
        </is>
      </c>
      <c r="C153" s="25" t="inlineStr">
        <is>
          <t>Drainage Design Engineer</t>
        </is>
      </c>
      <c r="D153" s="25" t="inlineStr">
        <is>
          <t>Pave Recruit</t>
        </is>
      </c>
      <c r="E153" s="25" t="inlineStr">
        <is>
          <t>Richmond, West London</t>
        </is>
      </c>
      <c r="F153" s="25" t="inlineStr">
        <is>
          <t>£38,000 – £44,000</t>
        </is>
      </c>
      <c r="G153" s="25" t="inlineStr">
        <is>
          <t>Adzuna UK</t>
        </is>
      </c>
      <c r="H153" s="21" t="inlineStr">
        <is>
          <t>CONFIRMED</t>
        </is>
      </c>
      <c r="I153" s="25" t="n">
        <v>55</v>
      </c>
      <c r="J153" s="26" t="inlineStr">
        <is>
          <t>Apply Here</t>
        </is>
      </c>
      <c r="K153" s="27" t="inlineStr"/>
      <c r="L153" s="27" t="inlineStr"/>
      <c r="M153" s="27" t="inlineStr">
        <is>
          <t>Pending</t>
        </is>
      </c>
      <c r="N153" s="28" t="inlineStr"/>
      <c r="O153" s="27" t="inlineStr"/>
    </row>
    <row r="154" ht="16" customHeight="1" s="18">
      <c r="A154" s="20" t="inlineStr">
        <is>
          <t>d8e14bdedc85</t>
        </is>
      </c>
      <c r="B154" s="20" t="inlineStr">
        <is>
          <t>18/02/2026</t>
        </is>
      </c>
      <c r="C154" s="20" t="inlineStr">
        <is>
          <t>Quality Engineer</t>
        </is>
      </c>
      <c r="D154" s="20" t="inlineStr">
        <is>
          <t>Rapiscan Systems</t>
        </is>
      </c>
      <c r="E154" s="20" t="inlineStr">
        <is>
          <t>Salfords, Redhill</t>
        </is>
      </c>
      <c r="F154" s="20" t="inlineStr">
        <is>
          <t>£46,683 – £46,683</t>
        </is>
      </c>
      <c r="G154" s="20" t="inlineStr">
        <is>
          <t>Adzuna UK</t>
        </is>
      </c>
      <c r="H154" s="21" t="inlineStr">
        <is>
          <t>CONFIRMED</t>
        </is>
      </c>
      <c r="I154" s="20" t="n">
        <v>55</v>
      </c>
      <c r="J154" s="22" t="inlineStr">
        <is>
          <t>Apply Here</t>
        </is>
      </c>
      <c r="K154" s="23" t="inlineStr"/>
      <c r="L154" s="23" t="inlineStr"/>
      <c r="M154" s="23" t="inlineStr">
        <is>
          <t>Pending</t>
        </is>
      </c>
      <c r="N154" s="24" t="inlineStr"/>
      <c r="O154" s="23" t="inlineStr"/>
    </row>
    <row r="155" ht="16" customHeight="1" s="18">
      <c r="A155" s="25" t="inlineStr">
        <is>
          <t>9c1c76c2e8a4</t>
        </is>
      </c>
      <c r="B155" s="25" t="inlineStr">
        <is>
          <t>18/02/2026</t>
        </is>
      </c>
      <c r="C155" s="25" t="inlineStr">
        <is>
          <t>Quality Engineer</t>
        </is>
      </c>
      <c r="D155" s="25" t="inlineStr">
        <is>
          <t>Rapiscan Systems</t>
        </is>
      </c>
      <c r="E155" s="25" t="inlineStr">
        <is>
          <t>Redhill, Surrey</t>
        </is>
      </c>
      <c r="F155" s="25" t="inlineStr">
        <is>
          <t>£48,879 – £48,879</t>
        </is>
      </c>
      <c r="G155" s="25" t="inlineStr">
        <is>
          <t>Adzuna UK</t>
        </is>
      </c>
      <c r="H155" s="21" t="inlineStr">
        <is>
          <t>CONFIRMED</t>
        </is>
      </c>
      <c r="I155" s="25" t="n">
        <v>55</v>
      </c>
      <c r="J155" s="26" t="inlineStr">
        <is>
          <t>Apply Here</t>
        </is>
      </c>
      <c r="K155" s="27" t="inlineStr"/>
      <c r="L155" s="27" t="inlineStr"/>
      <c r="M155" s="27" t="inlineStr">
        <is>
          <t>Pending</t>
        </is>
      </c>
      <c r="N155" s="28" t="inlineStr"/>
      <c r="O155" s="27" t="inlineStr"/>
    </row>
    <row r="156" ht="16" customHeight="1" s="18">
      <c r="A156" s="20" t="inlineStr">
        <is>
          <t>95a61278166a</t>
        </is>
      </c>
      <c r="B156" s="20" t="inlineStr">
        <is>
          <t>18/02/2026</t>
        </is>
      </c>
      <c r="C156" s="20" t="inlineStr">
        <is>
          <t>Assistant Engineer - Clean Water Modelling</t>
        </is>
      </c>
      <c r="D156" s="20" t="inlineStr">
        <is>
          <t>WSP</t>
        </is>
      </c>
      <c r="E156" s="20" t="inlineStr">
        <is>
          <t>Aldwych, Central London</t>
        </is>
      </c>
      <c r="F156" s="20" t="inlineStr">
        <is>
          <t>£45,719 – £45,719</t>
        </is>
      </c>
      <c r="G156" s="20" t="inlineStr">
        <is>
          <t>Adzuna UK</t>
        </is>
      </c>
      <c r="H156" s="21" t="inlineStr">
        <is>
          <t>CONFIRMED</t>
        </is>
      </c>
      <c r="I156" s="20" t="n">
        <v>55</v>
      </c>
      <c r="J156" s="22" t="inlineStr">
        <is>
          <t>Apply Here</t>
        </is>
      </c>
      <c r="K156" s="23" t="inlineStr"/>
      <c r="L156" s="23" t="inlineStr"/>
      <c r="M156" s="23" t="inlineStr">
        <is>
          <t>Pending</t>
        </is>
      </c>
      <c r="N156" s="24" t="inlineStr"/>
      <c r="O156" s="23" t="inlineStr"/>
    </row>
    <row r="157" ht="16" customHeight="1" s="18">
      <c r="A157" s="25" t="inlineStr">
        <is>
          <t>3368909f4dd6</t>
        </is>
      </c>
      <c r="B157" s="25" t="inlineStr">
        <is>
          <t>18/02/2026</t>
        </is>
      </c>
      <c r="C157" s="25" t="inlineStr">
        <is>
          <t>Drainage Operations Manager</t>
        </is>
      </c>
      <c r="D157" s="25" t="inlineStr">
        <is>
          <t>Vector Recruitment Solutions</t>
        </is>
      </c>
      <c r="E157" s="25" t="inlineStr">
        <is>
          <t>Church Langley, Harlow</t>
        </is>
      </c>
      <c r="F157" s="25" t="inlineStr">
        <is>
          <t>£50,000 – £55,000</t>
        </is>
      </c>
      <c r="G157" s="25" t="inlineStr">
        <is>
          <t>Adzuna UK</t>
        </is>
      </c>
      <c r="H157" s="21" t="inlineStr">
        <is>
          <t>CONFIRMED</t>
        </is>
      </c>
      <c r="I157" s="25" t="n">
        <v>55</v>
      </c>
      <c r="J157" s="26" t="inlineStr">
        <is>
          <t>Apply Here</t>
        </is>
      </c>
      <c r="K157" s="27" t="inlineStr"/>
      <c r="L157" s="27" t="inlineStr"/>
      <c r="M157" s="27" t="inlineStr">
        <is>
          <t>Pending</t>
        </is>
      </c>
      <c r="N157" s="28" t="inlineStr"/>
      <c r="O157" s="27" t="inlineStr"/>
    </row>
    <row r="158" ht="16" customHeight="1" s="18">
      <c r="A158" s="20" t="inlineStr">
        <is>
          <t>c0b5ead5d703</t>
        </is>
      </c>
      <c r="B158" s="20" t="inlineStr">
        <is>
          <t>18/02/2026</t>
        </is>
      </c>
      <c r="C158" s="20" t="inlineStr">
        <is>
          <t>HGV Class 2 Tanker Driver – Drainage</t>
        </is>
      </c>
      <c r="D158" s="20" t="inlineStr">
        <is>
          <t>Excellis Consultancy</t>
        </is>
      </c>
      <c r="E158" s="20" t="inlineStr">
        <is>
          <t>Riverhead, Sevenoaks</t>
        </is>
      </c>
      <c r="F158" s="20" t="inlineStr">
        <is>
          <t>£45,000 – £48,000</t>
        </is>
      </c>
      <c r="G158" s="20" t="inlineStr">
        <is>
          <t>Adzuna UK</t>
        </is>
      </c>
      <c r="H158" s="21" t="inlineStr">
        <is>
          <t>CONFIRMED</t>
        </is>
      </c>
      <c r="I158" s="20" t="n">
        <v>55</v>
      </c>
      <c r="J158" s="22" t="inlineStr">
        <is>
          <t>Apply Here</t>
        </is>
      </c>
      <c r="K158" s="23" t="inlineStr"/>
      <c r="L158" s="23" t="inlineStr"/>
      <c r="M158" s="23" t="inlineStr">
        <is>
          <t>Pending</t>
        </is>
      </c>
      <c r="N158" s="24" t="inlineStr"/>
      <c r="O158" s="23" t="inlineStr"/>
    </row>
    <row r="159" ht="16" customHeight="1" s="18">
      <c r="A159" s="25" t="inlineStr">
        <is>
          <t>06f8ddbdfb29</t>
        </is>
      </c>
      <c r="B159" s="25" t="inlineStr">
        <is>
          <t>18/02/2026</t>
        </is>
      </c>
      <c r="C159" s="25" t="inlineStr">
        <is>
          <t>Drainage Design Engineer</t>
        </is>
      </c>
      <c r="D159" s="25" t="inlineStr">
        <is>
          <t>Pave Recruit</t>
        </is>
      </c>
      <c r="E159" s="25" t="inlineStr">
        <is>
          <t>Richmond, West London</t>
        </is>
      </c>
      <c r="F159" s="25" t="inlineStr">
        <is>
          <t>£38,000 – £44,000</t>
        </is>
      </c>
      <c r="G159" s="25" t="inlineStr">
        <is>
          <t>Adzuna UK</t>
        </is>
      </c>
      <c r="H159" s="21" t="inlineStr">
        <is>
          <t>CONFIRMED</t>
        </is>
      </c>
      <c r="I159" s="25" t="n">
        <v>55</v>
      </c>
      <c r="J159" s="26" t="inlineStr">
        <is>
          <t>Apply Here</t>
        </is>
      </c>
      <c r="K159" s="27" t="inlineStr"/>
      <c r="L159" s="27" t="inlineStr"/>
      <c r="M159" s="27" t="inlineStr">
        <is>
          <t>Pending</t>
        </is>
      </c>
      <c r="N159" s="28" t="inlineStr"/>
      <c r="O159" s="27" t="inlineStr"/>
    </row>
    <row r="160" ht="16" customHeight="1" s="18">
      <c r="A160" s="20" t="inlineStr">
        <is>
          <t>5eba76b2be56</t>
        </is>
      </c>
      <c r="B160" s="20" t="inlineStr">
        <is>
          <t>18/02/2026</t>
        </is>
      </c>
      <c r="C160" s="20" t="inlineStr">
        <is>
          <t>Career Opportunities in the Water Sector - South Central | Expression of Interest</t>
        </is>
      </c>
      <c r="D160" s="20" t="inlineStr">
        <is>
          <t>Stantec UK</t>
        </is>
      </c>
      <c r="E160" s="20" t="inlineStr">
        <is>
          <t>London, UK</t>
        </is>
      </c>
      <c r="F160" s="20" t="inlineStr">
        <is>
          <t>£46,544 – £46,544</t>
        </is>
      </c>
      <c r="G160" s="20" t="inlineStr">
        <is>
          <t>Adzuna UK</t>
        </is>
      </c>
      <c r="H160" s="21" t="inlineStr">
        <is>
          <t>CONFIRMED</t>
        </is>
      </c>
      <c r="I160" s="20" t="n">
        <v>55</v>
      </c>
      <c r="J160" s="22" t="inlineStr">
        <is>
          <t>Apply Here</t>
        </is>
      </c>
      <c r="K160" s="23" t="inlineStr"/>
      <c r="L160" s="23" t="inlineStr"/>
      <c r="M160" s="23" t="inlineStr">
        <is>
          <t>Pending</t>
        </is>
      </c>
      <c r="N160" s="24" t="inlineStr"/>
      <c r="O160" s="23" t="inlineStr"/>
    </row>
    <row r="161" ht="16" customHeight="1" s="18">
      <c r="A161" s="25" t="inlineStr">
        <is>
          <t>ab71cc2367f5</t>
        </is>
      </c>
      <c r="B161" s="25" t="inlineStr">
        <is>
          <t>18/02/2026</t>
        </is>
      </c>
      <c r="C161" s="25" t="inlineStr">
        <is>
          <t>Pollution Response Technician</t>
        </is>
      </c>
      <c r="D161" s="25" t="inlineStr">
        <is>
          <t>Lanes Group</t>
        </is>
      </c>
      <c r="E161" s="25" t="inlineStr">
        <is>
          <t>Tudeley, Tonbridge</t>
        </is>
      </c>
      <c r="F161" s="25" t="inlineStr">
        <is>
          <t>£54,416 – £54,416</t>
        </is>
      </c>
      <c r="G161" s="25" t="inlineStr">
        <is>
          <t>Adzuna UK</t>
        </is>
      </c>
      <c r="H161" s="21" t="inlineStr">
        <is>
          <t>CONFIRMED</t>
        </is>
      </c>
      <c r="I161" s="25" t="n">
        <v>55</v>
      </c>
      <c r="J161" s="26" t="inlineStr">
        <is>
          <t>Apply Here</t>
        </is>
      </c>
      <c r="K161" s="27" t="inlineStr"/>
      <c r="L161" s="27" t="inlineStr"/>
      <c r="M161" s="27" t="inlineStr">
        <is>
          <t>Pending</t>
        </is>
      </c>
      <c r="N161" s="28" t="inlineStr"/>
      <c r="O161" s="27" t="inlineStr"/>
    </row>
    <row r="162" ht="16" customHeight="1" s="18">
      <c r="A162" s="20" t="inlineStr">
        <is>
          <t>933d53f44cdb</t>
        </is>
      </c>
      <c r="B162" s="20" t="inlineStr">
        <is>
          <t>18/02/2026</t>
        </is>
      </c>
      <c r="C162" s="20" t="inlineStr">
        <is>
          <t>Electrical Project/Design Engineer</t>
        </is>
      </c>
      <c r="D162" s="20" t="inlineStr">
        <is>
          <t>Matchtech</t>
        </is>
      </c>
      <c r="E162" s="20" t="inlineStr">
        <is>
          <t>Farringdon, Central London</t>
        </is>
      </c>
      <c r="F162" s="20" t="inlineStr">
        <is>
          <t>£40,000 – £50,000</t>
        </is>
      </c>
      <c r="G162" s="20" t="inlineStr">
        <is>
          <t>Adzuna UK</t>
        </is>
      </c>
      <c r="H162" s="21" t="inlineStr">
        <is>
          <t>CONFIRMED</t>
        </is>
      </c>
      <c r="I162" s="20" t="n">
        <v>50</v>
      </c>
      <c r="J162" s="22" t="inlineStr">
        <is>
          <t>Apply Here</t>
        </is>
      </c>
      <c r="K162" s="23" t="inlineStr"/>
      <c r="L162" s="23" t="inlineStr"/>
      <c r="M162" s="23" t="inlineStr">
        <is>
          <t>Pending</t>
        </is>
      </c>
      <c r="N162" s="24" t="inlineStr"/>
      <c r="O162" s="23" t="inlineStr"/>
    </row>
    <row r="163" ht="16" customHeight="1" s="18">
      <c r="A163" s="25" t="inlineStr">
        <is>
          <t>218f4d78d772</t>
        </is>
      </c>
      <c r="B163" s="25" t="inlineStr">
        <is>
          <t>18/02/2026</t>
        </is>
      </c>
      <c r="C163" s="25" t="inlineStr">
        <is>
          <t>Civil Engineer (Hybrid)</t>
        </is>
      </c>
      <c r="D163" s="25" t="inlineStr">
        <is>
          <t>Ernest Gordon Recruitment</t>
        </is>
      </c>
      <c r="E163" s="25" t="inlineStr">
        <is>
          <t>Slough, Berkshire</t>
        </is>
      </c>
      <c r="F163" s="25" t="inlineStr">
        <is>
          <t>£55,000 – £55,000</t>
        </is>
      </c>
      <c r="G163" s="25" t="inlineStr">
        <is>
          <t>Adzuna UK</t>
        </is>
      </c>
      <c r="H163" s="21" t="inlineStr">
        <is>
          <t>CONFIRMED</t>
        </is>
      </c>
      <c r="I163" s="25" t="n">
        <v>50</v>
      </c>
      <c r="J163" s="26" t="inlineStr">
        <is>
          <t>Apply Here</t>
        </is>
      </c>
      <c r="K163" s="27" t="inlineStr"/>
      <c r="L163" s="27" t="inlineStr"/>
      <c r="M163" s="27" t="inlineStr">
        <is>
          <t>Pending</t>
        </is>
      </c>
      <c r="N163" s="28" t="inlineStr"/>
      <c r="O163" s="27" t="inlineStr"/>
    </row>
    <row r="164" ht="16" customHeight="1" s="18">
      <c r="A164" s="20" t="inlineStr">
        <is>
          <t>51f9f29c4223</t>
        </is>
      </c>
      <c r="B164" s="20" t="inlineStr">
        <is>
          <t>19/02/2026</t>
        </is>
      </c>
      <c r="C164" s="20" t="inlineStr">
        <is>
          <t>Plumber</t>
        </is>
      </c>
      <c r="D164" s="20" t="inlineStr">
        <is>
          <t>WATES PROPERTY SERVICES LIMITED</t>
        </is>
      </c>
      <c r="E164" s="20" t="inlineStr">
        <is>
          <t>Crawley, West Sussex</t>
        </is>
      </c>
      <c r="F164" s="20" t="inlineStr">
        <is>
          <t>£50,654 – £50,654</t>
        </is>
      </c>
      <c r="G164" s="20" t="inlineStr">
        <is>
          <t>Adzuna UK</t>
        </is>
      </c>
      <c r="H164" s="21" t="inlineStr">
        <is>
          <t>CONFIRMED</t>
        </is>
      </c>
      <c r="I164" s="20" t="n">
        <v>70</v>
      </c>
      <c r="J164" s="22" t="inlineStr">
        <is>
          <t>Apply Here</t>
        </is>
      </c>
      <c r="K164" s="23" t="inlineStr"/>
      <c r="L164" s="23" t="inlineStr"/>
      <c r="M164" s="23" t="inlineStr">
        <is>
          <t>Pending</t>
        </is>
      </c>
      <c r="N164" s="24" t="inlineStr"/>
      <c r="O164" s="23" t="inlineStr"/>
    </row>
    <row r="165" ht="16" customHeight="1" s="18">
      <c r="A165" s="25" t="inlineStr">
        <is>
          <t>4c40fc76ca52</t>
        </is>
      </c>
      <c r="B165" s="25" t="inlineStr">
        <is>
          <t>19/02/2026</t>
        </is>
      </c>
      <c r="C165" s="25" t="inlineStr">
        <is>
          <t>Drainage Engineer</t>
        </is>
      </c>
      <c r="D165" s="25" t="inlineStr">
        <is>
          <t>CHARTWELL</t>
        </is>
      </c>
      <c r="E165" s="25" t="inlineStr">
        <is>
          <t>Chatham, Kent</t>
        </is>
      </c>
      <c r="F165" s="25" t="inlineStr">
        <is>
          <t>£45,000 – £45,000</t>
        </is>
      </c>
      <c r="G165" s="25" t="inlineStr">
        <is>
          <t>Adzuna UK</t>
        </is>
      </c>
      <c r="H165" s="21" t="inlineStr">
        <is>
          <t>CONFIRMED</t>
        </is>
      </c>
      <c r="I165" s="25" t="n">
        <v>70</v>
      </c>
      <c r="J165" s="26" t="inlineStr">
        <is>
          <t>Apply Here</t>
        </is>
      </c>
      <c r="K165" s="27" t="inlineStr"/>
      <c r="L165" s="27" t="inlineStr"/>
      <c r="M165" s="27" t="inlineStr">
        <is>
          <t>Pending</t>
        </is>
      </c>
      <c r="N165" s="28" t="inlineStr"/>
      <c r="O165" s="27" t="inlineStr"/>
    </row>
    <row r="166" ht="16" customHeight="1" s="18">
      <c r="A166" s="20" t="inlineStr">
        <is>
          <t>e2c2c7b0ace7</t>
        </is>
      </c>
      <c r="B166" s="20" t="inlineStr">
        <is>
          <t>19/02/2026</t>
        </is>
      </c>
      <c r="C166" s="20" t="inlineStr">
        <is>
          <t>Drainage Engineer</t>
        </is>
      </c>
      <c r="D166" s="20" t="inlineStr">
        <is>
          <t>Reed</t>
        </is>
      </c>
      <c r="E166" s="20" t="inlineStr">
        <is>
          <t>London, UK</t>
        </is>
      </c>
      <c r="F166" s="20" t="inlineStr">
        <is>
          <t>£40,000 – £50,000</t>
        </is>
      </c>
      <c r="G166" s="20" t="inlineStr">
        <is>
          <t>Adzuna UK</t>
        </is>
      </c>
      <c r="H166" s="21" t="inlineStr">
        <is>
          <t>CONFIRMED</t>
        </is>
      </c>
      <c r="I166" s="20" t="n">
        <v>70</v>
      </c>
      <c r="J166" s="22" t="inlineStr">
        <is>
          <t>Apply Here</t>
        </is>
      </c>
      <c r="K166" s="23" t="inlineStr"/>
      <c r="L166" s="23" t="inlineStr"/>
      <c r="M166" s="23" t="inlineStr">
        <is>
          <t>Pending</t>
        </is>
      </c>
      <c r="N166" s="24" t="inlineStr"/>
      <c r="O166" s="23" t="inlineStr"/>
    </row>
    <row r="167" ht="16" customHeight="1" s="18">
      <c r="A167" s="25" t="inlineStr">
        <is>
          <t>20ab822ee732</t>
        </is>
      </c>
      <c r="B167" s="25" t="inlineStr">
        <is>
          <t>19/02/2026</t>
        </is>
      </c>
      <c r="C167" s="25" t="inlineStr">
        <is>
          <t>Civil Infrastructure Engineer</t>
        </is>
      </c>
      <c r="D167" s="25" t="inlineStr">
        <is>
          <t>Zodiac Recruitment</t>
        </is>
      </c>
      <c r="E167" s="25" t="inlineStr">
        <is>
          <t>Stone Cross, Crowborough</t>
        </is>
      </c>
      <c r="F167" s="25" t="inlineStr">
        <is>
          <t>£32,000 – £44,000</t>
        </is>
      </c>
      <c r="G167" s="25" t="inlineStr">
        <is>
          <t>Adzuna UK</t>
        </is>
      </c>
      <c r="H167" s="21" t="inlineStr">
        <is>
          <t>CONFIRMED</t>
        </is>
      </c>
      <c r="I167" s="25" t="n">
        <v>70</v>
      </c>
      <c r="J167" s="26" t="inlineStr">
        <is>
          <t>Apply Here</t>
        </is>
      </c>
      <c r="K167" s="27" t="inlineStr"/>
      <c r="L167" s="27" t="inlineStr"/>
      <c r="M167" s="27" t="inlineStr">
        <is>
          <t>Pending</t>
        </is>
      </c>
      <c r="N167" s="28" t="inlineStr"/>
      <c r="O167" s="27" t="inlineStr"/>
    </row>
    <row r="168" ht="16" customHeight="1" s="18">
      <c r="A168" s="20" t="inlineStr">
        <is>
          <t>87ceadb33ae1</t>
        </is>
      </c>
      <c r="B168" s="20" t="inlineStr">
        <is>
          <t>19/02/2026</t>
        </is>
      </c>
      <c r="C168" s="20" t="inlineStr">
        <is>
          <t>Drainage Engineer</t>
        </is>
      </c>
      <c r="D168" s="20" t="inlineStr">
        <is>
          <t>Ernest Gordon Recruitment</t>
        </is>
      </c>
      <c r="E168" s="20" t="inlineStr">
        <is>
          <t>South Croydon, South East London</t>
        </is>
      </c>
      <c r="F168" s="20" t="inlineStr">
        <is>
          <t>£45,000 – £45,000</t>
        </is>
      </c>
      <c r="G168" s="20" t="inlineStr">
        <is>
          <t>Adzuna UK</t>
        </is>
      </c>
      <c r="H168" s="21" t="inlineStr">
        <is>
          <t>CONFIRMED</t>
        </is>
      </c>
      <c r="I168" s="20" t="n">
        <v>70</v>
      </c>
      <c r="J168" s="22" t="inlineStr">
        <is>
          <t>Apply Here</t>
        </is>
      </c>
      <c r="K168" s="23" t="inlineStr"/>
      <c r="L168" s="23" t="inlineStr"/>
      <c r="M168" s="23" t="inlineStr">
        <is>
          <t>Pending</t>
        </is>
      </c>
      <c r="N168" s="24" t="inlineStr"/>
      <c r="O168" s="23" t="inlineStr"/>
    </row>
    <row r="169" ht="16" customHeight="1" s="18">
      <c r="A169" s="25" t="inlineStr">
        <is>
          <t>699023f27473</t>
        </is>
      </c>
      <c r="B169" s="25" t="inlineStr">
        <is>
          <t>19/02/2026</t>
        </is>
      </c>
      <c r="C169" s="25" t="inlineStr">
        <is>
          <t>Drainage Engineer</t>
        </is>
      </c>
      <c r="D169" s="25" t="inlineStr">
        <is>
          <t>Ernest Gordon Recruitment Limited</t>
        </is>
      </c>
      <c r="E169" s="25" t="inlineStr">
        <is>
          <t>South Croydon, South East London</t>
        </is>
      </c>
      <c r="F169" s="25" t="inlineStr">
        <is>
          <t>£35,000 – £45,000</t>
        </is>
      </c>
      <c r="G169" s="25" t="inlineStr">
        <is>
          <t>Adzuna UK</t>
        </is>
      </c>
      <c r="H169" s="21" t="inlineStr">
        <is>
          <t>CONFIRMED</t>
        </is>
      </c>
      <c r="I169" s="25" t="n">
        <v>70</v>
      </c>
      <c r="J169" s="26" t="inlineStr">
        <is>
          <t>Apply Here</t>
        </is>
      </c>
      <c r="K169" s="27" t="inlineStr"/>
      <c r="L169" s="27" t="inlineStr"/>
      <c r="M169" s="27" t="inlineStr">
        <is>
          <t>Pending</t>
        </is>
      </c>
      <c r="N169" s="28" t="inlineStr"/>
      <c r="O169" s="27" t="inlineStr"/>
    </row>
    <row r="170" ht="16" customHeight="1" s="18">
      <c r="A170" s="20" t="inlineStr">
        <is>
          <t>4b2b71c82a9c</t>
        </is>
      </c>
      <c r="B170" s="20" t="inlineStr">
        <is>
          <t>19/02/2026</t>
        </is>
      </c>
      <c r="C170" s="20" t="inlineStr">
        <is>
          <t>Drainage Engineer</t>
        </is>
      </c>
      <c r="D170" s="20" t="inlineStr">
        <is>
          <t>Ernest Gordon Recruitment Limited</t>
        </is>
      </c>
      <c r="E170" s="20" t="inlineStr">
        <is>
          <t>Croydon, London</t>
        </is>
      </c>
      <c r="F170" s="20" t="inlineStr">
        <is>
          <t>£35,000 – £45,000</t>
        </is>
      </c>
      <c r="G170" s="20" t="inlineStr">
        <is>
          <t>Adzuna UK</t>
        </is>
      </c>
      <c r="H170" s="21" t="inlineStr">
        <is>
          <t>CONFIRMED</t>
        </is>
      </c>
      <c r="I170" s="20" t="n">
        <v>70</v>
      </c>
      <c r="J170" s="22" t="inlineStr">
        <is>
          <t>Apply Here</t>
        </is>
      </c>
      <c r="K170" s="23" t="inlineStr"/>
      <c r="L170" s="23" t="inlineStr"/>
      <c r="M170" s="23" t="inlineStr">
        <is>
          <t>Pending</t>
        </is>
      </c>
      <c r="N170" s="24" t="inlineStr"/>
      <c r="O170" s="23" t="inlineStr"/>
    </row>
    <row r="171" ht="16" customHeight="1" s="18">
      <c r="A171" s="25" t="inlineStr">
        <is>
          <t>16c6d8aed40d</t>
        </is>
      </c>
      <c r="B171" s="25" t="inlineStr">
        <is>
          <t>19/02/2026</t>
        </is>
      </c>
      <c r="C171" s="25" t="inlineStr">
        <is>
          <t>Senior Water Network Engineer/Modellers</t>
        </is>
      </c>
      <c r="D171" s="25" t="inlineStr">
        <is>
          <t>Jacobs</t>
        </is>
      </c>
      <c r="E171" s="25" t="inlineStr">
        <is>
          <t>Reading, Berkshire</t>
        </is>
      </c>
      <c r="F171" s="25" t="inlineStr">
        <is>
          <t>£50,253 – £50,253</t>
        </is>
      </c>
      <c r="G171" s="25" t="inlineStr">
        <is>
          <t>Adzuna UK</t>
        </is>
      </c>
      <c r="H171" s="21" t="inlineStr">
        <is>
          <t>CONFIRMED</t>
        </is>
      </c>
      <c r="I171" s="25" t="n">
        <v>65</v>
      </c>
      <c r="J171" s="26" t="inlineStr">
        <is>
          <t>Apply Here</t>
        </is>
      </c>
      <c r="K171" s="27" t="inlineStr"/>
      <c r="L171" s="27" t="inlineStr"/>
      <c r="M171" s="27" t="inlineStr">
        <is>
          <t>Pending</t>
        </is>
      </c>
      <c r="N171" s="28" t="inlineStr"/>
      <c r="O171" s="27" t="inlineStr"/>
    </row>
    <row r="172" ht="16" customHeight="1" s="18">
      <c r="A172" s="20" t="inlineStr">
        <is>
          <t>58e2d4977e31</t>
        </is>
      </c>
      <c r="B172" s="20" t="inlineStr">
        <is>
          <t>19/02/2026</t>
        </is>
      </c>
      <c r="C172" s="20" t="inlineStr">
        <is>
          <t>Hydraulics Engineers - UK Wide</t>
        </is>
      </c>
      <c r="D172" s="20" t="inlineStr">
        <is>
          <t>Jacobs</t>
        </is>
      </c>
      <c r="E172" s="20" t="inlineStr">
        <is>
          <t>Reading, Berkshire</t>
        </is>
      </c>
      <c r="F172" s="20" t="inlineStr">
        <is>
          <t>£48,252 – £48,252</t>
        </is>
      </c>
      <c r="G172" s="20" t="inlineStr">
        <is>
          <t>Adzuna UK</t>
        </is>
      </c>
      <c r="H172" s="21" t="inlineStr">
        <is>
          <t>CONFIRMED</t>
        </is>
      </c>
      <c r="I172" s="20" t="n">
        <v>65</v>
      </c>
      <c r="J172" s="22" t="inlineStr">
        <is>
          <t>Apply Here</t>
        </is>
      </c>
      <c r="K172" s="23" t="inlineStr"/>
      <c r="L172" s="23" t="inlineStr"/>
      <c r="M172" s="23" t="inlineStr">
        <is>
          <t>Pending</t>
        </is>
      </c>
      <c r="N172" s="24" t="inlineStr"/>
      <c r="O172" s="23" t="inlineStr"/>
    </row>
    <row r="173" ht="16" customHeight="1" s="18">
      <c r="A173" s="25" t="inlineStr">
        <is>
          <t>0ffe66b77d22</t>
        </is>
      </c>
      <c r="B173" s="25" t="inlineStr">
        <is>
          <t>19/02/2026</t>
        </is>
      </c>
      <c r="C173" s="25" t="inlineStr">
        <is>
          <t>Hydraulics Engineers - UK Wide</t>
        </is>
      </c>
      <c r="D173" s="25" t="inlineStr">
        <is>
          <t>Jacobs</t>
        </is>
      </c>
      <c r="E173" s="25" t="inlineStr">
        <is>
          <t>London, UK</t>
        </is>
      </c>
      <c r="F173" s="25" t="inlineStr">
        <is>
          <t>£49,369 – £49,369</t>
        </is>
      </c>
      <c r="G173" s="25" t="inlineStr">
        <is>
          <t>Adzuna UK</t>
        </is>
      </c>
      <c r="H173" s="21" t="inlineStr">
        <is>
          <t>CONFIRMED</t>
        </is>
      </c>
      <c r="I173" s="25" t="n">
        <v>65</v>
      </c>
      <c r="J173" s="26" t="inlineStr">
        <is>
          <t>Apply Here</t>
        </is>
      </c>
      <c r="K173" s="27" t="inlineStr"/>
      <c r="L173" s="27" t="inlineStr"/>
      <c r="M173" s="27" t="inlineStr">
        <is>
          <t>Pending</t>
        </is>
      </c>
      <c r="N173" s="28" t="inlineStr"/>
      <c r="O173" s="27" t="inlineStr"/>
    </row>
    <row r="174" ht="16" customHeight="1" s="18">
      <c r="A174" s="20" t="inlineStr">
        <is>
          <t>71b8c7196cec</t>
        </is>
      </c>
      <c r="B174" s="20" t="inlineStr">
        <is>
          <t>19/02/2026</t>
        </is>
      </c>
      <c r="C174" s="20" t="inlineStr">
        <is>
          <t>Senior Civil Engineer</t>
        </is>
      </c>
      <c r="D174" s="20" t="inlineStr">
        <is>
          <t>Penguin Recruitment</t>
        </is>
      </c>
      <c r="E174" s="20" t="inlineStr">
        <is>
          <t>Denner Hill, Great Missenden</t>
        </is>
      </c>
      <c r="F174" s="20" t="inlineStr">
        <is>
          <t>£38,000 – £60,000</t>
        </is>
      </c>
      <c r="G174" s="20" t="inlineStr">
        <is>
          <t>Adzuna UK</t>
        </is>
      </c>
      <c r="H174" s="21" t="inlineStr">
        <is>
          <t>CONFIRMED</t>
        </is>
      </c>
      <c r="I174" s="20" t="n">
        <v>60</v>
      </c>
      <c r="J174" s="22" t="inlineStr">
        <is>
          <t>Apply Here</t>
        </is>
      </c>
      <c r="K174" s="23" t="inlineStr"/>
      <c r="L174" s="23" t="inlineStr"/>
      <c r="M174" s="23" t="inlineStr">
        <is>
          <t>Pending</t>
        </is>
      </c>
      <c r="N174" s="24" t="inlineStr"/>
      <c r="O174" s="23" t="inlineStr"/>
    </row>
    <row r="175" ht="16" customHeight="1" s="18">
      <c r="A175" s="25" t="inlineStr">
        <is>
          <t>4f3fee809113</t>
        </is>
      </c>
      <c r="B175" s="25" t="inlineStr">
        <is>
          <t>19/02/2026</t>
        </is>
      </c>
      <c r="C175" s="25" t="inlineStr">
        <is>
          <t>Assistant Quantity Surveyor / Estimator - Civil Engineering</t>
        </is>
      </c>
      <c r="D175" s="25" t="inlineStr">
        <is>
          <t>Henley Chase</t>
        </is>
      </c>
      <c r="E175" s="25" t="inlineStr">
        <is>
          <t>New Haw, Addlestone</t>
        </is>
      </c>
      <c r="F175" s="25" t="inlineStr">
        <is>
          <t>£30,000 – £50,000</t>
        </is>
      </c>
      <c r="G175" s="25" t="inlineStr">
        <is>
          <t>Adzuna UK</t>
        </is>
      </c>
      <c r="H175" s="21" t="inlineStr">
        <is>
          <t>CONFIRMED</t>
        </is>
      </c>
      <c r="I175" s="25" t="n">
        <v>60</v>
      </c>
      <c r="J175" s="26" t="inlineStr">
        <is>
          <t>Apply Here</t>
        </is>
      </c>
      <c r="K175" s="27" t="inlineStr"/>
      <c r="L175" s="27" t="inlineStr"/>
      <c r="M175" s="27" t="inlineStr">
        <is>
          <t>Pending</t>
        </is>
      </c>
      <c r="N175" s="28" t="inlineStr"/>
      <c r="O175" s="27" t="inlineStr"/>
    </row>
    <row r="176" ht="16" customHeight="1" s="18">
      <c r="A176" s="20" t="inlineStr">
        <is>
          <t>cd35957461e4</t>
        </is>
      </c>
      <c r="B176" s="20" t="inlineStr">
        <is>
          <t>19/02/2026</t>
        </is>
      </c>
      <c r="C176" s="20" t="inlineStr">
        <is>
          <t>Junior Quantity Surveyor / Estimator - Civil Engineering</t>
        </is>
      </c>
      <c r="D176" s="20" t="inlineStr">
        <is>
          <t>Henley Chase Limited</t>
        </is>
      </c>
      <c r="E176" s="20" t="inlineStr">
        <is>
          <t>Addlestone, Surrey</t>
        </is>
      </c>
      <c r="F176" s="20" t="inlineStr">
        <is>
          <t>£30,000 – £50,000</t>
        </is>
      </c>
      <c r="G176" s="20" t="inlineStr">
        <is>
          <t>Adzuna UK</t>
        </is>
      </c>
      <c r="H176" s="21" t="inlineStr">
        <is>
          <t>CONFIRMED</t>
        </is>
      </c>
      <c r="I176" s="20" t="n">
        <v>60</v>
      </c>
      <c r="J176" s="22" t="inlineStr">
        <is>
          <t>Apply Here</t>
        </is>
      </c>
      <c r="K176" s="23" t="inlineStr"/>
      <c r="L176" s="23" t="inlineStr"/>
      <c r="M176" s="23" t="inlineStr">
        <is>
          <t>Pending</t>
        </is>
      </c>
      <c r="N176" s="24" t="inlineStr"/>
      <c r="O176" s="23" t="inlineStr"/>
    </row>
    <row r="177" ht="16" customHeight="1" s="18">
      <c r="A177" s="25" t="inlineStr">
        <is>
          <t>cd45547cceb7</t>
        </is>
      </c>
      <c r="B177" s="25" t="inlineStr">
        <is>
          <t>19/02/2026</t>
        </is>
      </c>
      <c r="C177" s="25" t="inlineStr">
        <is>
          <t>Senior Engineer - Flood Risk &amp; Drainage</t>
        </is>
      </c>
      <c r="D177" s="25" t="inlineStr">
        <is>
          <t>Aztrum</t>
        </is>
      </c>
      <c r="E177" s="25" t="inlineStr">
        <is>
          <t>Ash Vale, Aldershot</t>
        </is>
      </c>
      <c r="F177" s="25" t="inlineStr">
        <is>
          <t>£45,000 – £55,000</t>
        </is>
      </c>
      <c r="G177" s="25" t="inlineStr">
        <is>
          <t>Adzuna UK</t>
        </is>
      </c>
      <c r="H177" s="21" t="inlineStr">
        <is>
          <t>CONFIRMED</t>
        </is>
      </c>
      <c r="I177" s="25" t="n">
        <v>60</v>
      </c>
      <c r="J177" s="26" t="inlineStr">
        <is>
          <t>Apply Here</t>
        </is>
      </c>
      <c r="K177" s="27" t="inlineStr"/>
      <c r="L177" s="27" t="inlineStr"/>
      <c r="M177" s="27" t="inlineStr">
        <is>
          <t>Pending</t>
        </is>
      </c>
      <c r="N177" s="28" t="inlineStr"/>
      <c r="O177" s="27" t="inlineStr"/>
    </row>
    <row r="178" ht="16" customHeight="1" s="18">
      <c r="A178" s="20" t="inlineStr">
        <is>
          <t>8794def23e7f</t>
        </is>
      </c>
      <c r="B178" s="20" t="inlineStr">
        <is>
          <t>19/02/2026</t>
        </is>
      </c>
      <c r="C178" s="20" t="inlineStr">
        <is>
          <t>Mechanical Design Engineer - Water Sector</t>
        </is>
      </c>
      <c r="D178" s="20" t="inlineStr">
        <is>
          <t>Murray McIntosh Recruitment Consultancy</t>
        </is>
      </c>
      <c r="E178" s="20" t="inlineStr">
        <is>
          <t>Fleet, Hampshire</t>
        </is>
      </c>
      <c r="F178" s="20" t="inlineStr">
        <is>
          <t>£40,000 – £50,000</t>
        </is>
      </c>
      <c r="G178" s="20" t="inlineStr">
        <is>
          <t>Adzuna UK</t>
        </is>
      </c>
      <c r="H178" s="21" t="inlineStr">
        <is>
          <t>CONFIRMED</t>
        </is>
      </c>
      <c r="I178" s="20" t="n">
        <v>55</v>
      </c>
      <c r="J178" s="22" t="inlineStr">
        <is>
          <t>Apply Here</t>
        </is>
      </c>
      <c r="K178" s="23" t="inlineStr"/>
      <c r="L178" s="23" t="inlineStr"/>
      <c r="M178" s="23" t="inlineStr">
        <is>
          <t>Pending</t>
        </is>
      </c>
      <c r="N178" s="24" t="inlineStr"/>
      <c r="O178" s="23" t="inlineStr"/>
    </row>
    <row r="179" ht="16" customHeight="1" s="18">
      <c r="A179" s="25" t="inlineStr">
        <is>
          <t>12db784117dd</t>
        </is>
      </c>
      <c r="B179" s="25" t="inlineStr">
        <is>
          <t>19/02/2026</t>
        </is>
      </c>
      <c r="C179" s="25" t="inlineStr">
        <is>
          <t>Mechanical Design Engineer - Water Sector</t>
        </is>
      </c>
      <c r="D179" s="25" t="inlineStr">
        <is>
          <t>Murray McIntosh Associates Ltd</t>
        </is>
      </c>
      <c r="E179" s="25" t="inlineStr">
        <is>
          <t>Artington, Guildford</t>
        </is>
      </c>
      <c r="F179" s="25" t="inlineStr">
        <is>
          <t>£40,000 – £50,000</t>
        </is>
      </c>
      <c r="G179" s="25" t="inlineStr">
        <is>
          <t>Adzuna UK</t>
        </is>
      </c>
      <c r="H179" s="21" t="inlineStr">
        <is>
          <t>CONFIRMED</t>
        </is>
      </c>
      <c r="I179" s="25" t="n">
        <v>55</v>
      </c>
      <c r="J179" s="26" t="inlineStr">
        <is>
          <t>Apply Here</t>
        </is>
      </c>
      <c r="K179" s="27" t="inlineStr"/>
      <c r="L179" s="27" t="inlineStr"/>
      <c r="M179" s="27" t="inlineStr">
        <is>
          <t>Pending</t>
        </is>
      </c>
      <c r="N179" s="28" t="inlineStr"/>
      <c r="O179" s="27" t="inlineStr"/>
    </row>
    <row r="180" ht="16" customHeight="1" s="18">
      <c r="A180" s="20" t="inlineStr">
        <is>
          <t>cda8ebd585d1</t>
        </is>
      </c>
      <c r="B180" s="20" t="inlineStr">
        <is>
          <t>19/02/2026</t>
        </is>
      </c>
      <c r="C180" s="20" t="inlineStr">
        <is>
          <t>Drainage Design Engineer</t>
        </is>
      </c>
      <c r="D180" s="20" t="inlineStr">
        <is>
          <t>Pave Recruit</t>
        </is>
      </c>
      <c r="E180" s="20" t="inlineStr">
        <is>
          <t>Richmond, West London</t>
        </is>
      </c>
      <c r="F180" s="20" t="inlineStr">
        <is>
          <t>£38,000 – £44,000</t>
        </is>
      </c>
      <c r="G180" s="20" t="inlineStr">
        <is>
          <t>Adzuna UK</t>
        </is>
      </c>
      <c r="H180" s="21" t="inlineStr">
        <is>
          <t>CONFIRMED</t>
        </is>
      </c>
      <c r="I180" s="20" t="n">
        <v>55</v>
      </c>
      <c r="J180" s="22" t="inlineStr">
        <is>
          <t>Apply Here</t>
        </is>
      </c>
      <c r="K180" s="23" t="inlineStr"/>
      <c r="L180" s="23" t="inlineStr"/>
      <c r="M180" s="23" t="inlineStr">
        <is>
          <t>Pending</t>
        </is>
      </c>
      <c r="N180" s="24" t="inlineStr"/>
      <c r="O180" s="23" t="inlineStr"/>
    </row>
    <row r="181" ht="16" customHeight="1" s="18">
      <c r="A181" s="25" t="inlineStr">
        <is>
          <t>80b9a90c8122</t>
        </is>
      </c>
      <c r="B181" s="25" t="inlineStr">
        <is>
          <t>19/02/2026</t>
        </is>
      </c>
      <c r="C181" s="25" t="inlineStr">
        <is>
          <t>Quality Engineer</t>
        </is>
      </c>
      <c r="D181" s="25" t="inlineStr">
        <is>
          <t>Rapiscan Systems</t>
        </is>
      </c>
      <c r="E181" s="25" t="inlineStr">
        <is>
          <t>Salfords, Redhill</t>
        </is>
      </c>
      <c r="F181" s="25" t="inlineStr">
        <is>
          <t>£46,683 – £46,683</t>
        </is>
      </c>
      <c r="G181" s="25" t="inlineStr">
        <is>
          <t>Adzuna UK</t>
        </is>
      </c>
      <c r="H181" s="21" t="inlineStr">
        <is>
          <t>CONFIRMED</t>
        </is>
      </c>
      <c r="I181" s="25" t="n">
        <v>55</v>
      </c>
      <c r="J181" s="26" t="inlineStr">
        <is>
          <t>Apply Here</t>
        </is>
      </c>
      <c r="K181" s="27" t="inlineStr"/>
      <c r="L181" s="27" t="inlineStr"/>
      <c r="M181" s="27" t="inlineStr">
        <is>
          <t>Pending</t>
        </is>
      </c>
      <c r="N181" s="28" t="inlineStr"/>
      <c r="O181" s="27" t="inlineStr"/>
    </row>
    <row r="182" ht="16" customHeight="1" s="18">
      <c r="A182" s="20" t="inlineStr">
        <is>
          <t>b1ee2f9b7501</t>
        </is>
      </c>
      <c r="B182" s="20" t="inlineStr">
        <is>
          <t>19/02/2026</t>
        </is>
      </c>
      <c r="C182" s="20" t="inlineStr">
        <is>
          <t>Assistant Engineer - Clean Water Modelling</t>
        </is>
      </c>
      <c r="D182" s="20" t="inlineStr">
        <is>
          <t>WSP</t>
        </is>
      </c>
      <c r="E182" s="20" t="inlineStr">
        <is>
          <t>Aldwych, Central London</t>
        </is>
      </c>
      <c r="F182" s="20" t="inlineStr">
        <is>
          <t>£45,719 – £45,719</t>
        </is>
      </c>
      <c r="G182" s="20" t="inlineStr">
        <is>
          <t>Adzuna UK</t>
        </is>
      </c>
      <c r="H182" s="21" t="inlineStr">
        <is>
          <t>CONFIRMED</t>
        </is>
      </c>
      <c r="I182" s="20" t="n">
        <v>55</v>
      </c>
      <c r="J182" s="22" t="inlineStr">
        <is>
          <t>Apply Here</t>
        </is>
      </c>
      <c r="K182" s="23" t="inlineStr"/>
      <c r="L182" s="23" t="inlineStr"/>
      <c r="M182" s="23" t="inlineStr">
        <is>
          <t>Pending</t>
        </is>
      </c>
      <c r="N182" s="24" t="inlineStr"/>
      <c r="O182" s="23" t="inlineStr"/>
    </row>
    <row r="183" ht="16" customHeight="1" s="18">
      <c r="A183" s="25" t="inlineStr">
        <is>
          <t>9143bf653260</t>
        </is>
      </c>
      <c r="B183" s="25" t="inlineStr">
        <is>
          <t>19/02/2026</t>
        </is>
      </c>
      <c r="C183" s="25" t="inlineStr">
        <is>
          <t>Pump Engineer</t>
        </is>
      </c>
      <c r="D183" s="25" t="inlineStr">
        <is>
          <t>Smart Search Technical Ltd</t>
        </is>
      </c>
      <c r="E183" s="25" t="inlineStr">
        <is>
          <t>Farringdon, Central London</t>
        </is>
      </c>
      <c r="F183" s="25" t="inlineStr">
        <is>
          <t>£35,000 – £45,000</t>
        </is>
      </c>
      <c r="G183" s="25" t="inlineStr">
        <is>
          <t>Adzuna UK</t>
        </is>
      </c>
      <c r="H183" s="21" t="inlineStr">
        <is>
          <t>CONFIRMED</t>
        </is>
      </c>
      <c r="I183" s="25" t="n">
        <v>55</v>
      </c>
      <c r="J183" s="26" t="inlineStr">
        <is>
          <t>Apply Here</t>
        </is>
      </c>
      <c r="K183" s="27" t="inlineStr"/>
      <c r="L183" s="27" t="inlineStr"/>
      <c r="M183" s="27" t="inlineStr">
        <is>
          <t>Pending</t>
        </is>
      </c>
      <c r="N183" s="28" t="inlineStr"/>
      <c r="O183" s="27" t="inlineStr"/>
    </row>
    <row r="184" ht="16" customHeight="1" s="18">
      <c r="A184" s="20" t="inlineStr">
        <is>
          <t>7457aa6c128f</t>
        </is>
      </c>
      <c r="B184" s="20" t="inlineStr">
        <is>
          <t>19/02/2026</t>
        </is>
      </c>
      <c r="C184" s="20" t="inlineStr">
        <is>
          <t>HGV Class 2 Tanker Driver – Drainage</t>
        </is>
      </c>
      <c r="D184" s="20" t="inlineStr">
        <is>
          <t>Excellis Consultancy</t>
        </is>
      </c>
      <c r="E184" s="20" t="inlineStr">
        <is>
          <t>Riverhead, Sevenoaks</t>
        </is>
      </c>
      <c r="F184" s="20" t="inlineStr">
        <is>
          <t>£45,000 – £48,000</t>
        </is>
      </c>
      <c r="G184" s="20" t="inlineStr">
        <is>
          <t>Adzuna UK</t>
        </is>
      </c>
      <c r="H184" s="21" t="inlineStr">
        <is>
          <t>CONFIRMED</t>
        </is>
      </c>
      <c r="I184" s="20" t="n">
        <v>55</v>
      </c>
      <c r="J184" s="22" t="inlineStr">
        <is>
          <t>Apply Here</t>
        </is>
      </c>
      <c r="K184" s="23" t="inlineStr"/>
      <c r="L184" s="23" t="inlineStr"/>
      <c r="M184" s="23" t="inlineStr">
        <is>
          <t>Pending</t>
        </is>
      </c>
      <c r="N184" s="24" t="inlineStr"/>
      <c r="O184" s="23" t="inlineStr"/>
    </row>
    <row r="185" ht="16" customHeight="1" s="18">
      <c r="A185" s="25" t="inlineStr">
        <is>
          <t>03b317594b43</t>
        </is>
      </c>
      <c r="B185" s="25" t="inlineStr">
        <is>
          <t>19/02/2026</t>
        </is>
      </c>
      <c r="C185" s="25" t="inlineStr">
        <is>
          <t>Drainage Design Engineer</t>
        </is>
      </c>
      <c r="D185" s="25" t="inlineStr">
        <is>
          <t>Pave Recruit</t>
        </is>
      </c>
      <c r="E185" s="25" t="inlineStr">
        <is>
          <t>Richmond, West London</t>
        </is>
      </c>
      <c r="F185" s="25" t="inlineStr">
        <is>
          <t>£38,000 – £44,000</t>
        </is>
      </c>
      <c r="G185" s="25" t="inlineStr">
        <is>
          <t>Adzuna UK</t>
        </is>
      </c>
      <c r="H185" s="21" t="inlineStr">
        <is>
          <t>CONFIRMED</t>
        </is>
      </c>
      <c r="I185" s="25" t="n">
        <v>55</v>
      </c>
      <c r="J185" s="26" t="inlineStr">
        <is>
          <t>Apply Here</t>
        </is>
      </c>
      <c r="K185" s="27" t="inlineStr"/>
      <c r="L185" s="27" t="inlineStr"/>
      <c r="M185" s="27" t="inlineStr">
        <is>
          <t>Pending</t>
        </is>
      </c>
      <c r="N185" s="28" t="inlineStr"/>
      <c r="O185" s="27" t="inlineStr"/>
    </row>
    <row r="186" ht="16" customHeight="1" s="18">
      <c r="A186" s="20" t="inlineStr">
        <is>
          <t>a056e12823ab</t>
        </is>
      </c>
      <c r="B186" s="20" t="inlineStr">
        <is>
          <t>19/02/2026</t>
        </is>
      </c>
      <c r="C186" s="20" t="inlineStr">
        <is>
          <t>Pollution Response Technician</t>
        </is>
      </c>
      <c r="D186" s="20" t="inlineStr">
        <is>
          <t>Lanes Group</t>
        </is>
      </c>
      <c r="E186" s="20" t="inlineStr">
        <is>
          <t>Tudeley, Tonbridge</t>
        </is>
      </c>
      <c r="F186" s="20" t="inlineStr">
        <is>
          <t>£54,416 – £54,416</t>
        </is>
      </c>
      <c r="G186" s="20" t="inlineStr">
        <is>
          <t>Adzuna UK</t>
        </is>
      </c>
      <c r="H186" s="21" t="inlineStr">
        <is>
          <t>CONFIRMED</t>
        </is>
      </c>
      <c r="I186" s="20" t="n">
        <v>55</v>
      </c>
      <c r="J186" s="22" t="inlineStr">
        <is>
          <t>Apply Here</t>
        </is>
      </c>
      <c r="K186" s="23" t="inlineStr"/>
      <c r="L186" s="23" t="inlineStr"/>
      <c r="M186" s="23" t="inlineStr">
        <is>
          <t>Pending</t>
        </is>
      </c>
      <c r="N186" s="24" t="inlineStr"/>
      <c r="O186" s="23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style="18" min="1" max="1"/>
    <col width="16" customWidth="1" style="18" min="2" max="2"/>
  </cols>
  <sheetData>
    <row r="1" ht="16.5" customHeight="1" s="18">
      <c r="A1" s="17" t="inlineStr">
        <is>
          <t>Application Stats — Ishaan Kumar</t>
        </is>
      </c>
    </row>
    <row r="3">
      <c r="A3" s="4" t="inlineStr">
        <is>
          <t>Total Jobs Sent</t>
        </is>
      </c>
      <c r="B3" s="5">
        <f>COUNTA('Job Applications'!B2:B5000)</f>
        <v/>
      </c>
    </row>
    <row r="4">
      <c r="A4" s="4" t="inlineStr">
        <is>
          <t>Applied</t>
        </is>
      </c>
      <c r="B4" s="5">
        <f>COUNTIF('Job Applications'!K2:K5000,"Yes")</f>
        <v/>
      </c>
    </row>
    <row r="5">
      <c r="A5" s="4" t="inlineStr">
        <is>
          <t>Not Applied (skipped)</t>
        </is>
      </c>
      <c r="B5" s="5">
        <f>COUNTIF('Job Applications'!K2:K5000,"No")</f>
        <v/>
      </c>
    </row>
    <row r="6">
      <c r="A6" s="4" t="inlineStr">
        <is>
          <t>Awaiting Decision</t>
        </is>
      </c>
      <c r="B6" s="5">
        <f>COUNTIF('Job Applications'!M2:M5000,"Pending")</f>
        <v/>
      </c>
    </row>
    <row r="7">
      <c r="A7" s="4" t="inlineStr">
        <is>
          <t>Interviews</t>
        </is>
      </c>
      <c r="B7" s="5">
        <f>COUNTIF('Job Applications'!M2:M5000,"Interview Invited")</f>
        <v/>
      </c>
    </row>
    <row r="8">
      <c r="A8" s="4" t="inlineStr">
        <is>
          <t>2nd Interviews</t>
        </is>
      </c>
      <c r="B8" s="5">
        <f>COUNTIF('Job Applications'!M2:M5000,"2nd Interview")</f>
        <v/>
      </c>
    </row>
    <row r="9">
      <c r="A9" s="4" t="inlineStr">
        <is>
          <t>Offers</t>
        </is>
      </c>
      <c r="B9" s="5">
        <f>COUNTIF('Job Applications'!M2:M5000,"Offer Received")</f>
        <v/>
      </c>
    </row>
    <row r="10">
      <c r="A10" s="4" t="inlineStr">
        <is>
          <t>Rejected by employer</t>
        </is>
      </c>
      <c r="B10" s="5">
        <f>COUNTIF('Job Applications'!M2:M5000,"Rejected")</f>
        <v/>
      </c>
    </row>
    <row r="11">
      <c r="A11" s="4" t="inlineStr">
        <is>
          <t>Application Rate</t>
        </is>
      </c>
      <c r="B11" s="5">
        <f>IFERROR(TEXT(B3/B2,"0%"),"-")</f>
        <v/>
      </c>
    </row>
    <row r="12">
      <c r="A12" s="4" t="inlineStr">
        <is>
          <t>Interview Rate</t>
        </is>
      </c>
      <c r="B12" s="5">
        <f>IFERROR(TEXT(B6/B3,"0%"),"-")</f>
        <v/>
      </c>
    </row>
    <row r="13">
      <c r="A13" s="6" t="inlineStr">
        <is>
          <t>---</t>
        </is>
      </c>
      <c r="B13" s="7" t="n"/>
    </row>
    <row r="14">
      <c r="A14" s="4" t="inlineStr">
        <is>
          <t>Why No — Too junior</t>
        </is>
      </c>
      <c r="B14" s="5">
        <f>COUNTIF('Job Applications'!N2:N5000,"Too junior / entry level")</f>
        <v/>
      </c>
    </row>
    <row r="15">
      <c r="A15" s="4" t="inlineStr">
        <is>
          <t>Why No — Too senior</t>
        </is>
      </c>
      <c r="B15" s="5">
        <f>COUNTIF('Job Applications'!N2:N5000,"Too senior / overqualified")</f>
        <v/>
      </c>
    </row>
    <row r="16">
      <c r="A16" s="4" t="inlineStr">
        <is>
          <t>Why No — Wrong sector</t>
        </is>
      </c>
      <c r="B16" s="5">
        <f>COUNTIF('Job Applications'!N2:N5000,"Wrong sector / not water")</f>
        <v/>
      </c>
    </row>
    <row r="17">
      <c r="A17" s="4" t="inlineStr">
        <is>
          <t>Why No — Wrong location</t>
        </is>
      </c>
      <c r="B17" s="5">
        <f>COUNTIF('Job Applications'!N2:N5000,"Wrong location / too far")</f>
        <v/>
      </c>
    </row>
    <row r="18">
      <c r="A18" s="4" t="inlineStr">
        <is>
          <t>Why No — Salary too low</t>
        </is>
      </c>
      <c r="B18" s="5">
        <f>COUNTIF('Job Applications'!N2:N5000,"Salary too low")</f>
        <v/>
      </c>
    </row>
    <row r="19">
      <c r="A19" s="4" t="inlineStr">
        <is>
          <t>Why No — Contract role</t>
        </is>
      </c>
      <c r="B19" s="5">
        <f>COUNTIF('Job Applications'!N2:N5000,"Contract / not permanent")</f>
        <v/>
      </c>
    </row>
    <row r="20">
      <c r="A20" s="4" t="inlineStr">
        <is>
          <t>Why No — Missing cert</t>
        </is>
      </c>
      <c r="B20" s="5">
        <f>COUNTIF('Job Applications'!N2:N5000,"Missing required licence/cert")</f>
        <v/>
      </c>
    </row>
    <row r="21">
      <c r="A21" s="4" t="inlineStr">
        <is>
          <t>Why No — Other</t>
        </is>
      </c>
      <c r="B21" s="5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2026-02-19T07:44:24Z</dcterms:modified>
  <cp:lastModifiedBy>Ishaan Kumar</cp:lastModifiedBy>
</cp:coreProperties>
</file>