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Applications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A3A5C"/>
      <sz val="13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color rgb="FF1A6FA8"/>
      <sz val="9"/>
    </font>
    <font>
      <name val="Arial"/>
      <i val="1"/>
      <color rgb="FF744210"/>
      <sz val="9"/>
    </font>
    <font>
      <name val="Arial"/>
      <color rgb="001A6FA8"/>
      <sz val="9"/>
    </font>
    <font>
      <name val="Arial"/>
      <i val="1"/>
      <color rgb="00744210"/>
      <sz val="9"/>
    </font>
    <font>
      <name val="Arial"/>
      <color rgb="001A6FA8"/>
      <sz val="9"/>
      <u val="single"/>
    </font>
  </fonts>
  <fills count="22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1A6FA8"/>
      </patternFill>
    </fill>
    <fill>
      <patternFill patternType="solid">
        <fgColor rgb="00744210"/>
      </patternFill>
    </fill>
    <fill>
      <patternFill patternType="solid">
        <fgColor rgb="00F0F4F8"/>
      </patternFill>
    </fill>
    <fill>
      <patternFill patternType="solid">
        <fgColor rgb="FFFFFFFF"/>
      </patternFill>
    </fill>
    <fill>
      <patternFill patternType="solid">
        <fgColor rgb="FFC6F6D5"/>
      </patternFill>
    </fill>
    <fill>
      <patternFill patternType="solid">
        <fgColor rgb="FFEBF8FF"/>
      </patternFill>
    </fill>
    <fill>
      <patternFill patternType="solid">
        <fgColor rgb="FFFFFBEB"/>
      </patternFill>
    </fill>
    <fill>
      <patternFill patternType="solid">
        <fgColor rgb="FFF8FAFC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00FFFFFF"/>
      </patternFill>
    </fill>
    <fill>
      <patternFill patternType="solid">
        <fgColor rgb="00C6F6D5"/>
      </patternFill>
    </fill>
    <fill>
      <patternFill patternType="solid">
        <fgColor rgb="00EBF8FF"/>
      </patternFill>
    </fill>
    <fill>
      <patternFill patternType="solid">
        <fgColor rgb="00FFFBEB"/>
      </patternFill>
    </fill>
    <fill>
      <patternFill patternType="solid">
        <fgColor rgb="00F8FAFC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EFCBF"/>
      </patternFill>
    </fill>
    <fill>
      <patternFill patternType="solid">
        <fgColor rgb="00FFF5F5"/>
      </patternFill>
    </fill>
  </fills>
  <borders count="4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5" borderId="2" pivotButton="0" quotePrefix="0" xfId="0"/>
    <xf numFmtId="0" fontId="4" fillId="5" borderId="2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6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0" fontId="5" fillId="8" borderId="0" applyAlignment="1" pivotButton="0" quotePrefix="0" xfId="0">
      <alignment horizontal="left" vertical="center"/>
    </xf>
    <xf numFmtId="0" fontId="7" fillId="9" borderId="0" applyAlignment="1" pivotButton="0" quotePrefix="0" xfId="0">
      <alignment horizontal="left" vertical="center"/>
    </xf>
    <xf numFmtId="0" fontId="5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7" fillId="12" borderId="0" applyAlignment="1" pivotButton="0" quotePrefix="0" xfId="0">
      <alignment horizontal="left" vertical="center"/>
    </xf>
    <xf numFmtId="164" fontId="5" fillId="11" borderId="0" applyAlignment="1" pivotButton="0" quotePrefix="0" xfId="0">
      <alignment horizontal="left" vertical="center"/>
    </xf>
    <xf numFmtId="0" fontId="5" fillId="13" borderId="0" applyAlignment="1" pivotButton="0" quotePrefix="0" xfId="0">
      <alignment horizontal="left" vertical="center"/>
    </xf>
    <xf numFmtId="0" fontId="5" fillId="14" borderId="0" applyAlignment="1" pivotButton="0" quotePrefix="0" xfId="0">
      <alignment horizontal="left" vertical="center"/>
    </xf>
    <xf numFmtId="0" fontId="8" fillId="13" borderId="0" applyAlignment="1" pivotButton="0" quotePrefix="0" xfId="0">
      <alignment horizontal="left" vertical="center"/>
    </xf>
    <xf numFmtId="0" fontId="5" fillId="15" borderId="0" applyAlignment="1" pivotButton="0" quotePrefix="0" xfId="0">
      <alignment horizontal="left" vertical="center"/>
    </xf>
    <xf numFmtId="0" fontId="9" fillId="16" borderId="0" applyAlignment="1" pivotButton="0" quotePrefix="0" xfId="0">
      <alignment horizontal="left" vertical="center"/>
    </xf>
    <xf numFmtId="0" fontId="5" fillId="17" borderId="0" applyAlignment="1" pivotButton="0" quotePrefix="0" xfId="0">
      <alignment horizontal="left" vertical="center"/>
    </xf>
    <xf numFmtId="0" fontId="8" fillId="17" borderId="0" applyAlignment="1" pivotButton="0" quotePrefix="0" xfId="0">
      <alignment horizontal="left" vertical="center"/>
    </xf>
    <xf numFmtId="0" fontId="5" fillId="18" borderId="0" applyAlignment="1" pivotButton="0" quotePrefix="0" xfId="0">
      <alignment horizontal="left" vertical="center"/>
    </xf>
    <xf numFmtId="0" fontId="9" fillId="19" borderId="0" applyAlignment="1" pivotButton="0" quotePrefix="0" xfId="0">
      <alignment horizontal="left" vertical="center"/>
    </xf>
    <xf numFmtId="0" fontId="5" fillId="13" borderId="3" applyAlignment="1" pivotButton="0" quotePrefix="0" xfId="0">
      <alignment horizontal="left" vertical="center"/>
    </xf>
    <xf numFmtId="0" fontId="5" fillId="14" borderId="3" applyAlignment="1" pivotButton="0" quotePrefix="0" xfId="0">
      <alignment horizontal="left" vertical="center"/>
    </xf>
    <xf numFmtId="0" fontId="10" fillId="13" borderId="3" applyAlignment="1" pivotButton="0" quotePrefix="0" xfId="0">
      <alignment horizontal="left" vertical="center"/>
    </xf>
    <xf numFmtId="0" fontId="5" fillId="15" borderId="3" applyAlignment="1" pivotButton="0" quotePrefix="0" xfId="0">
      <alignment horizontal="left" vertical="center"/>
    </xf>
    <xf numFmtId="0" fontId="9" fillId="16" borderId="3" applyAlignment="1" pivotButton="0" quotePrefix="0" xfId="0">
      <alignment horizontal="left" vertical="center"/>
    </xf>
    <xf numFmtId="0" fontId="5" fillId="17" borderId="3" applyAlignment="1" pivotButton="0" quotePrefix="0" xfId="0">
      <alignment horizontal="left" vertical="center"/>
    </xf>
    <xf numFmtId="0" fontId="10" fillId="17" borderId="3" applyAlignment="1" pivotButton="0" quotePrefix="0" xfId="0">
      <alignment horizontal="left" vertical="center"/>
    </xf>
    <xf numFmtId="0" fontId="5" fillId="18" borderId="3" applyAlignment="1" pivotButton="0" quotePrefix="0" xfId="0">
      <alignment horizontal="left" vertical="center"/>
    </xf>
    <xf numFmtId="0" fontId="9" fillId="19" borderId="3" applyAlignment="1" pivotButton="0" quotePrefix="0" xfId="0">
      <alignment horizontal="left" vertical="center"/>
    </xf>
    <xf numFmtId="0" fontId="5" fillId="20" borderId="3" applyAlignment="1" pivotButton="0" quotePrefix="0" xfId="0">
      <alignment horizontal="left" vertical="center"/>
    </xf>
    <xf numFmtId="0" fontId="5" fillId="21" borderId="3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dzuna.co.uk/jobs/details/5595589363?utm_medium=api&amp;utm_source=692fc859" TargetMode="External" Id="rId1"/><Relationship Type="http://schemas.openxmlformats.org/officeDocument/2006/relationships/hyperlink" Target="https://www.adzuna.co.uk/jobs/details/5578524719?utm_medium=api&amp;utm_source=692fc859" TargetMode="External" Id="rId2"/><Relationship Type="http://schemas.openxmlformats.org/officeDocument/2006/relationships/hyperlink" Target="https://www.adzuna.co.uk/jobs/details/5578522778?utm_medium=api&amp;utm_source=692fc859" TargetMode="External" Id="rId3"/><Relationship Type="http://schemas.openxmlformats.org/officeDocument/2006/relationships/hyperlink" Target="https://www.adzuna.co.uk/jobs/land/ad/5638787202?se=3tKdw0QQ8RGCOqer9fzSag&amp;utm_medium=api&amp;utm_source=692fc859&amp;v=E321B259BCD4BF214B5122185201744B8CFE6B83" TargetMode="External" Id="rId4"/><Relationship Type="http://schemas.openxmlformats.org/officeDocument/2006/relationships/hyperlink" Target="https://www.adzuna.co.uk/jobs/land/ad/5637933446?se=3tKdw0QQ8RGCOqer9fzSag&amp;utm_medium=api&amp;utm_source=692fc859&amp;v=4C9B003DB308D8A031A491F2A1DBA215EE0582E7" TargetMode="External" Id="rId5"/><Relationship Type="http://schemas.openxmlformats.org/officeDocument/2006/relationships/hyperlink" Target="https://www.adzuna.co.uk/jobs/details/5637403351?utm_medium=api&amp;utm_source=692fc859" TargetMode="External" Id="rId6"/><Relationship Type="http://schemas.openxmlformats.org/officeDocument/2006/relationships/hyperlink" Target="https://www.adzuna.co.uk/jobs/details/5637403345?utm_medium=api&amp;utm_source=692fc859" TargetMode="External" Id="rId7"/><Relationship Type="http://schemas.openxmlformats.org/officeDocument/2006/relationships/hyperlink" Target="https://www.adzuna.co.uk/jobs/details/5637403344?utm_medium=api&amp;utm_source=692fc859" TargetMode="External" Id="rId8"/><Relationship Type="http://schemas.openxmlformats.org/officeDocument/2006/relationships/hyperlink" Target="https://www.adzuna.co.uk/jobs/details/5604386841?utm_medium=api&amp;utm_source=692fc859" TargetMode="External" Id="rId9"/><Relationship Type="http://schemas.openxmlformats.org/officeDocument/2006/relationships/hyperlink" Target="https://www.adzuna.co.uk/jobs/details/5604386842?utm_medium=api&amp;utm_source=692fc859" TargetMode="External" Id="rId10"/><Relationship Type="http://schemas.openxmlformats.org/officeDocument/2006/relationships/hyperlink" Target="https://www.adzuna.co.uk/jobs/details/5604386848?utm_medium=api&amp;utm_source=692fc859" TargetMode="External" Id="rId11"/><Relationship Type="http://schemas.openxmlformats.org/officeDocument/2006/relationships/hyperlink" Target="https://www.adzuna.co.uk/jobs/land/ad/5640598876?se=aO0QxUQQ8RGCOqer9fzSag&amp;utm_medium=api&amp;utm_source=692fc859&amp;v=FDE6216EED5A2A9E14C66055E3D5A751596741C8" TargetMode="External" Id="rId12"/><Relationship Type="http://schemas.openxmlformats.org/officeDocument/2006/relationships/hyperlink" Target="https://www.adzuna.co.uk/jobs/details/5638932351?utm_medium=api&amp;utm_source=692fc859" TargetMode="External" Id="rId13"/><Relationship Type="http://schemas.openxmlformats.org/officeDocument/2006/relationships/hyperlink" Target="https://www.adzuna.co.uk/jobs/details/5638932379?utm_medium=api&amp;utm_source=692fc859" TargetMode="External" Id="rId14"/><Relationship Type="http://schemas.openxmlformats.org/officeDocument/2006/relationships/hyperlink" Target="https://www.adzuna.co.uk/jobs/details/5638932377?utm_medium=api&amp;utm_source=692fc859" TargetMode="External" Id="rId15"/><Relationship Type="http://schemas.openxmlformats.org/officeDocument/2006/relationships/hyperlink" Target="https://www.adzuna.co.uk/jobs/land/ad/5637909428?se=3tKdw0QQ8RGCOqer9fzSag&amp;utm_medium=api&amp;utm_source=692fc859&amp;v=F77C0D8E436BFCE8EE89C81C9B2EFA901C4A63EB" TargetMode="External" Id="rId16"/><Relationship Type="http://schemas.openxmlformats.org/officeDocument/2006/relationships/hyperlink" Target="https://www.adzuna.co.uk/jobs/land/ad/5635507173?se=3tKdw0QQ8RGCOqer9fzSag&amp;utm_medium=api&amp;utm_source=692fc859&amp;v=F26661C5311A9BA0A6E06E80C87B8D4C86E05543" TargetMode="External" Id="rId17"/><Relationship Type="http://schemas.openxmlformats.org/officeDocument/2006/relationships/hyperlink" Target="https://www.adzuna.co.uk/jobs/land/ad/5635167194?se=3tKdw0QQ8RGCOqer9fzSag&amp;utm_medium=api&amp;utm_source=692fc859&amp;v=EB341C0EAFF9190F1B828F6C53D29A934A2CAEF2" TargetMode="External" Id="rId18"/><Relationship Type="http://schemas.openxmlformats.org/officeDocument/2006/relationships/hyperlink" Target="https://www.adzuna.co.uk/jobs/land/ad/5627673956?se=3tKdw0QQ8RGCOqer9fzSag&amp;utm_medium=api&amp;utm_source=692fc859&amp;v=8944E51E36D223DD9CC5C86EC90217E6931F7085" TargetMode="External" Id="rId19"/><Relationship Type="http://schemas.openxmlformats.org/officeDocument/2006/relationships/hyperlink" Target="https://www.adzuna.co.uk/jobs/details/5605400521?utm_medium=api&amp;utm_source=692fc859" TargetMode="External" Id="rId20"/><Relationship Type="http://schemas.openxmlformats.org/officeDocument/2006/relationships/hyperlink" Target="https://www.adzuna.co.uk/jobs/details/5605400525?utm_medium=api&amp;utm_source=692fc859" TargetMode="External" Id="rId21"/><Relationship Type="http://schemas.openxmlformats.org/officeDocument/2006/relationships/hyperlink" Target="https://www.adzuna.co.uk/jobs/details/5605400523?utm_medium=api&amp;utm_source=692fc859" TargetMode="External" Id="rId22"/><Relationship Type="http://schemas.openxmlformats.org/officeDocument/2006/relationships/hyperlink" Target="https://www.adzuna.co.uk/jobs/details/5604025231?utm_medium=api&amp;utm_source=692fc859" TargetMode="External" Id="rId23"/><Relationship Type="http://schemas.openxmlformats.org/officeDocument/2006/relationships/hyperlink" Target="https://www.adzuna.co.uk/jobs/details/5604025262?utm_medium=api&amp;utm_source=692fc859" TargetMode="External" Id="rId24"/><Relationship Type="http://schemas.openxmlformats.org/officeDocument/2006/relationships/hyperlink" Target="https://www.adzuna.co.uk/jobs/details/5572619977?utm_medium=api&amp;utm_source=692fc859" TargetMode="External" Id="rId25"/><Relationship Type="http://schemas.openxmlformats.org/officeDocument/2006/relationships/hyperlink" Target="https://www.adzuna.co.uk/jobs/details/5510353844?utm_medium=api&amp;utm_source=692fc859" TargetMode="External" Id="rId26"/><Relationship Type="http://schemas.openxmlformats.org/officeDocument/2006/relationships/hyperlink" Target="https://www.adzuna.co.uk/jobs/details/5628754738?utm_medium=api&amp;utm_source=692fc859" TargetMode="External" Id="rId27"/><Relationship Type="http://schemas.openxmlformats.org/officeDocument/2006/relationships/hyperlink" Target="https://www.adzuna.co.uk/jobs/details/5641208928?utm_medium=api&amp;utm_source=692fc859" TargetMode="External" Id="rId28"/><Relationship Type="http://schemas.openxmlformats.org/officeDocument/2006/relationships/hyperlink" Target="https://www.adzuna.co.uk/jobs/details/5614600530?utm_medium=api&amp;utm_source=692fc859" TargetMode="External" Id="rId29"/><Relationship Type="http://schemas.openxmlformats.org/officeDocument/2006/relationships/hyperlink" Target="https://www.adzuna.co.uk/jobs/land/ad/5614429974?se=sqJdxEQQ8RGN54km_8BaUQ&amp;utm_medium=api&amp;utm_source=692fc859&amp;v=E26139B772A201AA49B27089436520E6D59375F3" TargetMode="External" Id="rId30"/><Relationship Type="http://schemas.openxmlformats.org/officeDocument/2006/relationships/hyperlink" Target="https://www.adzuna.co.uk/jobs/land/ad/5597180719?se=sqJdxEQQ8RGN54km_8BaUQ&amp;utm_medium=api&amp;utm_source=692fc859&amp;v=A53CD42F37F71208F01F004C487D8F78E7B1D959" TargetMode="External" Id="rId31"/><Relationship Type="http://schemas.openxmlformats.org/officeDocument/2006/relationships/hyperlink" Target="https://uk.linkedin.com/jobs/view/linux-infrastructure-engineer-automation-tools-large-scale-distributed-systems-python-linux-automation-london-hybrid-3-days-vp-level-total-comp-%C2%A3110-160k%2B-plus-benefits-at-owen-thomas-pending-b-corp%E2%84%A2-4376397445" TargetMode="External" Id="rId32"/><Relationship Type="http://schemas.openxmlformats.org/officeDocument/2006/relationships/hyperlink" Target="https://uk.linkedin.com/jobs/view/infrastructure-deployment-engineer-at-cloudflare-4337793694" TargetMode="External" Id="rId33"/><Relationship Type="http://schemas.openxmlformats.org/officeDocument/2006/relationships/hyperlink" Target="https://uk.linkedin.com/jobs/view/stairlift-engineer-at-stannah-group-4376508347" TargetMode="External" Id="rId34"/><Relationship Type="http://schemas.openxmlformats.org/officeDocument/2006/relationships/hyperlink" Target="https://uk.linkedin.com/jobs/view/graduate-engineer-at-metrology-engineering-services-mes-4376191311" TargetMode="External" Id="rId35"/><Relationship Type="http://schemas.openxmlformats.org/officeDocument/2006/relationships/hyperlink" Target="https://uk.linkedin.com/jobs/view/escalator-engineer-nights-at-stannah-group-4376364562" TargetMode="External" Id="rId36"/><Relationship Type="http://schemas.openxmlformats.org/officeDocument/2006/relationships/hyperlink" Target="https://uk.linkedin.com/jobs/view/composite-designer-at-cadillac-formula-1%C2%AE-team-4332213078" TargetMode="External" Id="rId37"/><Relationship Type="http://schemas.openxmlformats.org/officeDocument/2006/relationships/hyperlink" Target="https://uk.linkedin.com/jobs/view/design-engineer-at-multiverse-4337858907" TargetMode="External" Id="rId38"/><Relationship Type="http://schemas.openxmlformats.org/officeDocument/2006/relationships/hyperlink" Target="https://uk.linkedin.com/jobs/view/australian-based-dams-reservoir-engineering-opportunities-relocation-assistance-provided-at-aecom-4374954943" TargetMode="External" Id="rId39"/><Relationship Type="http://schemas.openxmlformats.org/officeDocument/2006/relationships/hyperlink" Target="https://uk.linkedin.com/jobs/view/senior-engineer-at-john-sisk-son-ltd-4312413225" TargetMode="External" Id="rId40"/><Relationship Type="http://schemas.openxmlformats.org/officeDocument/2006/relationships/hyperlink" Target="https://uk.linkedin.com/jobs/view/security-systems-cctv-engineer-at-momentum-security-recruitment-4374213418" TargetMode="External" Id="rId41"/><Relationship Type="http://schemas.openxmlformats.org/officeDocument/2006/relationships/hyperlink" Target="https://uk.linkedin.com/jobs/view/network-engineer-v-at-keystone-recruitment-4376365544" TargetMode="External" Id="rId42"/><Relationship Type="http://schemas.openxmlformats.org/officeDocument/2006/relationships/hyperlink" Target="https://uk.linkedin.com/jobs/view/network-engineer-x-2-111254-0126-at-university-of-warwick-4376397467" TargetMode="External" Id="rId43"/><Relationship Type="http://schemas.openxmlformats.org/officeDocument/2006/relationships/hyperlink" Target="https://uk.linkedin.com/jobs/view/senior-cloud-network-engineer-terraform-zscaler-fintech-%C2%A390k-at-hawksworth-4374994779" TargetMode="External" Id="rId44"/><Relationship Type="http://schemas.openxmlformats.org/officeDocument/2006/relationships/hyperlink" Target="https://uk.linkedin.com/jobs/view/senior-network-engineer-at-hackajob-4362607235" TargetMode="External" Id="rId45"/><Relationship Type="http://schemas.openxmlformats.org/officeDocument/2006/relationships/hyperlink" Target="https://uk.linkedin.com/jobs/view/system-engineer-mbse-at-apollo-fire-detectors-4326400381" TargetMode="External" Id="rId46"/><Relationship Type="http://schemas.openxmlformats.org/officeDocument/2006/relationships/hyperlink" Target="https://uk.linkedin.com/jobs/view/systems-engineer-contractor-at-esco-maritime-solutions-4320914210" TargetMode="External" Id="rId47"/><Relationship Type="http://schemas.openxmlformats.org/officeDocument/2006/relationships/hyperlink" Target="https://uk.linkedin.com/jobs/view/senior-associate-at-meridian-universal-4376378448" TargetMode="External" Id="rId48"/><Relationship Type="http://schemas.openxmlformats.org/officeDocument/2006/relationships/hyperlink" Target="https://uk.linkedin.com/jobs/view/gas-distribution-senior-modeller-at-esyasoft-holding-4375132389" TargetMode="External" Id="rId49"/><Relationship Type="http://schemas.openxmlformats.org/officeDocument/2006/relationships/hyperlink" Target="https://uk.linkedin.com/jobs/view/sound-engineer-professionals-at-baseline-solving-4376198843" TargetMode="External" Id="rId50"/><Relationship Type="http://schemas.openxmlformats.org/officeDocument/2006/relationships/hyperlink" Target="https://www.adzuna.co.uk/jobs/land/ad/5599986097?se=_pMlwVkS8RGtpJoZ9gQwog&amp;utm_medium=api&amp;utm_source=692fc859&amp;v=88E8789E530801E70113A2C80385AF9F970A5C04" TargetMode="External" Id="rId51"/><Relationship Type="http://schemas.openxmlformats.org/officeDocument/2006/relationships/hyperlink" Target="https://www.adzuna.co.uk/jobs/details/5366558006?utm_medium=api&amp;utm_source=692fc859" TargetMode="External" Id="rId52"/><Relationship Type="http://schemas.openxmlformats.org/officeDocument/2006/relationships/hyperlink" Target="https://www.adzuna.co.uk/jobs/details/5366557986?utm_medium=api&amp;utm_source=692fc859" TargetMode="External" Id="rId53"/><Relationship Type="http://schemas.openxmlformats.org/officeDocument/2006/relationships/hyperlink" Target="https://www.adzuna.co.uk/jobs/details/5619782820?utm_medium=api&amp;utm_source=692fc859" TargetMode="External" Id="rId54"/><Relationship Type="http://schemas.openxmlformats.org/officeDocument/2006/relationships/hyperlink" Target="https://www.adzuna.co.uk/jobs/details/5619782805?utm_medium=api&amp;utm_source=692fc859" TargetMode="External" Id="rId55"/><Relationship Type="http://schemas.openxmlformats.org/officeDocument/2006/relationships/hyperlink" Target="https://www.adzuna.co.uk/jobs/details/5619782756?utm_medium=api&amp;utm_source=692fc859" TargetMode="External" Id="rId56"/><Relationship Type="http://schemas.openxmlformats.org/officeDocument/2006/relationships/hyperlink" Target="https://www.adzuna.co.uk/jobs/details/5618834804?utm_medium=api&amp;utm_source=692fc859" TargetMode="External" Id="rId57"/><Relationship Type="http://schemas.openxmlformats.org/officeDocument/2006/relationships/hyperlink" Target="https://uk.linkedin.com/jobs/view/assistant-engineer-clean-water-modelling-at-wsp-in-the-uk-ireland-4369038536" TargetMode="External" Id="rId58"/><Relationship Type="http://schemas.openxmlformats.org/officeDocument/2006/relationships/hyperlink" Target="https://uk.linkedin.com/jobs/view/water-infrastructure-manager-aws-emea-energy-water-team-at-amazon-web-services-aws-4378319169" TargetMode="External" Id="rId59"/><Relationship Type="http://schemas.openxmlformats.org/officeDocument/2006/relationships/hyperlink" Target="https://uk.linkedin.com/jobs/view/field-technician-clean-water-at-celnor-group-4362472081" TargetMode="External" Id="rId60"/><Relationship Type="http://schemas.openxmlformats.org/officeDocument/2006/relationships/hyperlink" Target="https://uk.linkedin.com/jobs/view/civil-engineer-%E2%80%93-uk-water-wastewater-%E2%80%93-all-levels-%E2%80%93-expression-of-interest-at-egis-4379042585" TargetMode="External" Id="rId61"/><Relationship Type="http://schemas.openxmlformats.org/officeDocument/2006/relationships/hyperlink" Target="https://uk.linkedin.com/jobs/view/civil-engineering-lead-%E2%80%93-uk-water-wastewater-technical-leadership-growth-at-egis-4378792461" TargetMode="External" Id="rId62"/><Relationship Type="http://schemas.openxmlformats.org/officeDocument/2006/relationships/hyperlink" Target="https://uk.linkedin.com/jobs/view/graduate-civil-engineer-regulated-water-bristol-at-jacobs-4299783512" TargetMode="External" Id="rId63"/><Relationship Type="http://schemas.openxmlformats.org/officeDocument/2006/relationships/hyperlink" Target="https://www.adzuna.co.uk/jobs/land/ad/5613486288?se=Hm_U0iEW8RGEw9lSM2tG_w&amp;utm_medium=api&amp;utm_source=692fc859&amp;v=CAE34BE0732B5C0A87BFC036BFB170DC73477C1A" TargetMode="External" Id="rId64"/><Relationship Type="http://schemas.openxmlformats.org/officeDocument/2006/relationships/hyperlink" Target="https://www.adzuna.co.uk/jobs/details/5610803953?utm_medium=api&amp;utm_source=692fc859" TargetMode="External" Id="rId65"/><Relationship Type="http://schemas.openxmlformats.org/officeDocument/2006/relationships/hyperlink" Target="https://www.adzuna.co.uk/jobs/details/5575617407?utm_medium=api&amp;utm_source=692fc859" TargetMode="External" Id="rId66"/><Relationship Type="http://schemas.openxmlformats.org/officeDocument/2006/relationships/hyperlink" Target="https://www.adzuna.co.uk/jobs/land/ad/5647311039?se=imIl0iEW8RGKftCRiXryZA&amp;utm_medium=api&amp;utm_source=692fc859&amp;v=E5E6C080CDB84FE7D83275DB7C10006373BF890C" TargetMode="External" Id="rId67"/><Relationship Type="http://schemas.openxmlformats.org/officeDocument/2006/relationships/hyperlink" Target="https://www.adzuna.co.uk/jobs/land/ad/5617327751?se=XkWb0iEW8RGqd4HaXwbiaw&amp;utm_medium=api&amp;utm_source=692fc859&amp;v=EF4F2D085C696D00C9BA975C47930A986704D44A" TargetMode="External" Id="rId68"/><Relationship Type="http://schemas.openxmlformats.org/officeDocument/2006/relationships/hyperlink" Target="https://www.adzuna.co.uk/jobs/details/5648692306?utm_medium=api&amp;utm_source=692fc859" TargetMode="External" Id="rId69"/><Relationship Type="http://schemas.openxmlformats.org/officeDocument/2006/relationships/hyperlink" Target="https://www.adzuna.co.uk/jobs/details/5647485966?utm_medium=api&amp;utm_source=692fc859" TargetMode="External" Id="rId70"/><Relationship Type="http://schemas.openxmlformats.org/officeDocument/2006/relationships/hyperlink" Target="https://www.adzuna.co.uk/jobs/details/5575621205?utm_medium=api&amp;utm_source=692fc859" TargetMode="External" Id="rId71"/><Relationship Type="http://schemas.openxmlformats.org/officeDocument/2006/relationships/hyperlink" Target="https://www.adzuna.co.uk/jobs/land/ad/5647289217?se=Jjnw0CEW8RGEw9lSM2tG_w&amp;utm_medium=api&amp;utm_source=692fc859&amp;v=6353AD43D5F589084280E7427C4CD73B9CC4475C" TargetMode="External" Id="rId72"/><Relationship Type="http://schemas.openxmlformats.org/officeDocument/2006/relationships/hyperlink" Target="https://www.adzuna.co.uk/jobs/details/5649115763?utm_medium=api&amp;utm_source=692fc859" TargetMode="External" Id="rId73"/><Relationship Type="http://schemas.openxmlformats.org/officeDocument/2006/relationships/hyperlink" Target="https://www.adzuna.co.uk/jobs/details/5363517878?utm_medium=api&amp;utm_source=692fc859" TargetMode="External" Id="rId74"/><Relationship Type="http://schemas.openxmlformats.org/officeDocument/2006/relationships/hyperlink" Target="https://www.adzuna.co.uk/jobs/details/5335916137?utm_medium=api&amp;utm_source=692fc859" TargetMode="External" Id="rId75"/><Relationship Type="http://schemas.openxmlformats.org/officeDocument/2006/relationships/hyperlink" Target="https://www.adzuna.co.uk/jobs/land/ad/5643805003?se=imIl0iEW8RGKftCRiXryZA&amp;utm_medium=api&amp;utm_source=692fc859&amp;v=9BC6C132E0541CE79D481028F7AA1542952D0504" TargetMode="External" Id="rId76"/><Relationship Type="http://schemas.openxmlformats.org/officeDocument/2006/relationships/hyperlink" Target="https://www.adzuna.co.uk/jobs/land/ad/5633349242?se=imIl0iEW8RGKftCRiXryZA&amp;utm_medium=api&amp;utm_source=692fc859&amp;v=848ACA33120705D8D11C81E6EC13221FDFFAE896" TargetMode="External" Id="rId77"/><Relationship Type="http://schemas.openxmlformats.org/officeDocument/2006/relationships/hyperlink" Target="https://www.adzuna.co.uk/jobs/details/5628225380?utm_medium=api&amp;utm_source=692fc859" TargetMode="External" Id="rId78"/><Relationship Type="http://schemas.openxmlformats.org/officeDocument/2006/relationships/hyperlink" Target="https://www.adzuna.co.uk/jobs/land/ad/5628122576?se=imIl0iEW8RGKftCRiXryZA&amp;utm_medium=api&amp;utm_source=692fc859&amp;v=D2D9F89B1190E92B05870D3A9B0F9D8043587909" TargetMode="External" Id="rId79"/><Relationship Type="http://schemas.openxmlformats.org/officeDocument/2006/relationships/hyperlink" Target="https://www.adzuna.co.uk/jobs/details/5596282019?utm_medium=api&amp;utm_source=692fc859" TargetMode="External" Id="rId80"/><Relationship Type="http://schemas.openxmlformats.org/officeDocument/2006/relationships/hyperlink" Target="https://www.adzuna.co.uk/jobs/land/ad/5636036391?se=-ofW0SEW8RGEw9lSM2tG_w&amp;utm_medium=api&amp;utm_source=692fc859&amp;v=DD873D0F0FE8241B2088F75A9C84CE2191CFA89D" TargetMode="External" Id="rId81"/><Relationship Type="http://schemas.openxmlformats.org/officeDocument/2006/relationships/hyperlink" Target="https://uk.linkedin.com/jobs/view/civil-engineer-at-anglian-water-services-4307564117" TargetMode="External" Id="rId82"/><Relationship Type="http://schemas.openxmlformats.org/officeDocument/2006/relationships/hyperlink" Target="https://www.adzuna.co.uk/jobs/details/5650364945?utm_medium=api&amp;utm_source=692fc859" TargetMode="External" Id="rId83"/><Relationship Type="http://schemas.openxmlformats.org/officeDocument/2006/relationships/hyperlink" Target="https://www.adzuna.co.uk/jobs/details/5645522958?utm_medium=api&amp;utm_source=692fc859" TargetMode="External" Id="rId84"/><Relationship Type="http://schemas.openxmlformats.org/officeDocument/2006/relationships/hyperlink" Target="https://environmentjob.co.uk/jobs/109393-advocacy-and-parliamentary-affairs-officer?from_rss=true" TargetMode="External" Id="rId85"/><Relationship Type="http://schemas.openxmlformats.org/officeDocument/2006/relationships/hyperlink" Target="https://uk.linkedin.com/jobs/view/design-engineer-at-e-solutions-4377129861" TargetMode="External" Id="rId86"/><Relationship Type="http://schemas.openxmlformats.org/officeDocument/2006/relationships/hyperlink" Target="https://uk.linkedin.com/jobs/view/multiskilled-engineer-at-styrene-packaging-insulation-ltd-4379795240" TargetMode="External" Id="rId87"/><Relationship Type="http://schemas.openxmlformats.org/officeDocument/2006/relationships/hyperlink" Target="https://uk.linkedin.com/jobs/view/section-engineer-at-bam-uk-ireland-4275085560" TargetMode="External" Id="rId88"/><Relationship Type="http://schemas.openxmlformats.org/officeDocument/2006/relationships/hyperlink" Target="https://uk.linkedin.com/jobs/view/engineer-at-persimmon-homes-4378440776" TargetMode="External" Id="rId89"/><Relationship Type="http://schemas.openxmlformats.org/officeDocument/2006/relationships/hyperlink" Target="https://uk.linkedin.com/jobs/view/graduate-maritime-engineer-5647-at-arup-4318362067" TargetMode="External" Id="rId90"/><Relationship Type="http://schemas.openxmlformats.org/officeDocument/2006/relationships/hyperlink" Target="https://uk.linkedin.com/jobs/view/network-engineer-fintech-%C2%A380-000-%C2%A3120-000-%2B-bonus-at-hunter-bond-4376671218" TargetMode="External" Id="rId91"/><Relationship Type="http://schemas.openxmlformats.org/officeDocument/2006/relationships/hyperlink" Target="https://uk.linkedin.com/jobs/view/low-voltage-systems-engineer-at-advanced-resource-managers-4379915075" TargetMode="External" Id="rId92"/><Relationship Type="http://schemas.openxmlformats.org/officeDocument/2006/relationships/hyperlink" Target="https://uk.linkedin.com/jobs/view/network-engineer-at-hackajob-4378441080" TargetMode="External" Id="rId93"/><Relationship Type="http://schemas.openxmlformats.org/officeDocument/2006/relationships/hyperlink" Target="https://uk.linkedin.com/jobs/view/senior-infosec-network-engineer-nist-cis-%C2%A390k-at-hawksworth-4378822133" TargetMode="External" Id="rId94"/><Relationship Type="http://schemas.openxmlformats.org/officeDocument/2006/relationships/hyperlink" Target="https://uk.linkedin.com/jobs/view/network-engineer-trading-%C2%A3100-000-%C2%A3180-000-%2B-bonus-at-jobs-via-efinancialcareers-4379747981" TargetMode="External" Id="rId95"/><Relationship Type="http://schemas.openxmlformats.org/officeDocument/2006/relationships/hyperlink" Target="https://uk.linkedin.com/jobs/view/field-manager-at-lanes-group-4378433873" TargetMode="External" Id="rId96"/><Relationship Type="http://schemas.openxmlformats.org/officeDocument/2006/relationships/hyperlink" Target="https://uk.linkedin.com/jobs/view/design-manager-water-sector-at-stantec-4318604635" TargetMode="External" Id="rId97"/><Relationship Type="http://schemas.openxmlformats.org/officeDocument/2006/relationships/hyperlink" Target="https://uk.linkedin.com/jobs/view/senior-economics-consultant-advisory-at-aecom-4377949649" TargetMode="External" Id="rId98"/><Relationship Type="http://schemas.openxmlformats.org/officeDocument/2006/relationships/hyperlink" Target="https://uk.linkedin.com/jobs/view/supervisor-at-volkerwessels-uk-4286385375" TargetMode="External" Id="rId99"/><Relationship Type="http://schemas.openxmlformats.org/officeDocument/2006/relationships/hyperlink" Target="https://www.adzuna.co.uk/jobs/details/5648285238?utm_medium=api&amp;utm_source=692fc859" TargetMode="External" Id="rId100"/><Relationship Type="http://schemas.openxmlformats.org/officeDocument/2006/relationships/hyperlink" Target="https://www.adzuna.co.uk/jobs/details/5646362320?utm_medium=api&amp;utm_source=692fc859" TargetMode="External" Id="rId101"/><Relationship Type="http://schemas.openxmlformats.org/officeDocument/2006/relationships/hyperlink" Target="https://www.adzuna.co.uk/jobs/details/5645167787?utm_medium=api&amp;utm_source=692fc859" TargetMode="External" Id="rId102"/><Relationship Type="http://schemas.openxmlformats.org/officeDocument/2006/relationships/hyperlink" Target="https://www.adzuna.co.uk/jobs/land/ad/5644690925?se=fL2O0CEW8RGqd4HaXwbiaw&amp;utm_medium=api&amp;utm_source=692fc859&amp;v=E53EC863A17E1463A28897AD168DA1942A8C0780" TargetMode="External" Id="rId103"/><Relationship Type="http://schemas.openxmlformats.org/officeDocument/2006/relationships/hyperlink" Target="https://www.adzuna.co.uk/jobs/land/ad/5643672533?se=fL2O0CEW8RGqd4HaXwbiaw&amp;utm_medium=api&amp;utm_source=692fc859&amp;v=0623CB92592AABF077E0E7ED7EAAF646DAC5E58A" TargetMode="External" Id="rId104"/><Relationship Type="http://schemas.openxmlformats.org/officeDocument/2006/relationships/hyperlink" Target="https://www.adzuna.co.uk/jobs/land/ad/5643672524?se=fL2O0CEW8RGqd4HaXwbiaw&amp;utm_medium=api&amp;utm_source=692fc859&amp;v=E929C07202A8E2A3DCFD15F440529F5064267353" TargetMode="External" Id="rId105"/><Relationship Type="http://schemas.openxmlformats.org/officeDocument/2006/relationships/hyperlink" Target="https://www.adzuna.co.uk/jobs/land/ad/5633214441?se=fL2O0CEW8RGqd4HaXwbiaw&amp;utm_medium=api&amp;utm_source=692fc859&amp;v=CABE3EA8EFDD5543DB892146B7E6843631903CFF" TargetMode="External" Id="rId106"/><Relationship Type="http://schemas.openxmlformats.org/officeDocument/2006/relationships/hyperlink" Target="https://www.adzuna.co.uk/jobs/details/5575621426?utm_medium=api&amp;utm_source=692fc859" TargetMode="External" Id="rId107"/><Relationship Type="http://schemas.openxmlformats.org/officeDocument/2006/relationships/hyperlink" Target="https://www.adzuna.co.uk/jobs/land/ad/5546892816?se=fL2O0CEW8RGqd4HaXwbiaw&amp;utm_medium=api&amp;utm_source=692fc859&amp;v=90FE8D9A0A1AA9C6999C30AD74226E5DA004C74E" TargetMode="External" Id="rId108"/><Relationship Type="http://schemas.openxmlformats.org/officeDocument/2006/relationships/hyperlink" Target="https://www.adzuna.co.uk/jobs/land/ad/5615805937?se=yNE3LCYW8RGEw9lSM2tG_w&amp;utm_medium=api&amp;utm_source=692fc859&amp;v=4FB607E7330F199C949EEB7E4D9DDDC763FC7D0C" TargetMode="External" Id="rId109"/><Relationship Type="http://schemas.openxmlformats.org/officeDocument/2006/relationships/hyperlink" Target="https://uk.linkedin.com/jobs/view/water-networks-modeller-at-stantec-4289479122" TargetMode="External" Id="rId110"/><Relationship Type="http://schemas.openxmlformats.org/officeDocument/2006/relationships/hyperlink" Target="https://uk.linkedin.com/jobs/view/water-infrastructure-manager-aws-emea-energy-water-team-at-amazon-web-services-aws-4302565683" TargetMode="External" Id="rId111"/><Relationship Type="http://schemas.openxmlformats.org/officeDocument/2006/relationships/hyperlink" Target="https://uk.linkedin.com/jobs/view/clean-water-hydraulic-modellers-at-rps-4150186236" TargetMode="External" Id="rId112"/><Relationship Type="http://schemas.openxmlformats.org/officeDocument/2006/relationships/hyperlink" Target="https://uk.linkedin.com/jobs/view/water-network-engineer-at-celnor-group-4366175960" TargetMode="External" Id="rId113"/><Relationship Type="http://schemas.openxmlformats.org/officeDocument/2006/relationships/hyperlink" Target="https://www.adzuna.co.uk/jobs/details/5661857435?utm_medium=api&amp;utm_source=692fc859" TargetMode="External" Id="rId114"/><Relationship Type="http://schemas.openxmlformats.org/officeDocument/2006/relationships/hyperlink" Target="https://www.adzuna.co.uk/jobs/land/ad/5661821075?se=-IngaeYd8RGQs42bJUVPLw&amp;utm_medium=api&amp;utm_source=692fc859&amp;v=A83C86AAFF2B3FBF70FDF47E42F56E5438469E35" TargetMode="External" Id="rId115"/><Relationship Type="http://schemas.openxmlformats.org/officeDocument/2006/relationships/hyperlink" Target="https://uk.linkedin.com/jobs/view/civil-design-engineer-water-sector-at-alexander-associates-4383913617" TargetMode="External" Id="rId116"/><Relationship Type="http://schemas.openxmlformats.org/officeDocument/2006/relationships/hyperlink" Target="https://www.adzuna.co.uk/jobs/details/5665231486?utm_medium=api&amp;utm_source=692fc859" TargetMode="External" Id="rId117"/><Relationship Type="http://schemas.openxmlformats.org/officeDocument/2006/relationships/hyperlink" Target="https://uk.linkedin.com/jobs/view/outside-ir35-contract-civil-design-engineer-water-sector-at-alexander-associates-technical-recruitment-4386769160" TargetMode="External" Id="rId118"/><Relationship Type="http://schemas.openxmlformats.org/officeDocument/2006/relationships/hyperlink" Target="https://www.adzuna.co.uk/jobs/details/5673588188?utm_medium=api&amp;utm_source=692fc859" TargetMode="External" Id="rId119"/><Relationship Type="http://schemas.openxmlformats.org/officeDocument/2006/relationships/hyperlink" Target="https://www.adzuna.co.uk/jobs/details/5673588195?utm_medium=api&amp;utm_source=692fc859" TargetMode="External" Id="rId120"/><Relationship Type="http://schemas.openxmlformats.org/officeDocument/2006/relationships/hyperlink" Target="https://uk.linkedin.com/jobs/view/civil-design-engineer-water-sector-at-alexander-associates-4386601300" TargetMode="External" Id="rId121"/><Relationship Type="http://schemas.openxmlformats.org/officeDocument/2006/relationships/hyperlink" Target="https://uk.linkedin.com/jobs/view/civil-engineer-urban-drainage-wastewater-networks-at-stantec-4325683715" TargetMode="External" Id="rId122"/><Relationship Type="http://schemas.openxmlformats.org/officeDocument/2006/relationships/hyperlink" Target="https://uk.linkedin.com/jobs/view/hydraulic-design-engineer-at-extension-recruitment-ltd-4389592790" TargetMode="External" Id="rId123"/><Relationship Type="http://schemas.openxmlformats.org/officeDocument/2006/relationships/hyperlink" Target="https://www.adzuna.co.uk/jobs/details/5678604558?utm_medium=api&amp;utm_source=692fc859" TargetMode="External" Id="rId124"/><Relationship Type="http://schemas.openxmlformats.org/officeDocument/2006/relationships/hyperlink" Target="https://www.adzuna.co.uk/jobs/details/5678085647?utm_medium=api&amp;utm_source=692fc859" TargetMode="External" Id="rId125"/><Relationship Type="http://schemas.openxmlformats.org/officeDocument/2006/relationships/hyperlink" Target="https://www.adzuna.co.uk/jobs/details/5674161889?utm_medium=api&amp;utm_source=692fc859" TargetMode="External" Id="rId126"/><Relationship Type="http://schemas.openxmlformats.org/officeDocument/2006/relationships/hyperlink" Target="https://uk.linkedin.com/jobs/view/design-engineer-%E2%80%93-wastewater-at-timely-recruit-ltd-4391565248" TargetMode="External" Id="rId127"/><Relationship Type="http://schemas.openxmlformats.org/officeDocument/2006/relationships/hyperlink" Target="https://uk.linkedin.com/jobs/view/wastewater-network-modeller-at-ganymede-4395028165" TargetMode="External" Id="rId128"/><Relationship Type="http://schemas.openxmlformats.org/officeDocument/2006/relationships/hyperlink" Target="https://uk.linkedin.com/jobs/view/design-engineer-%E2%80%93-wastewater-at-timely-recruit-ltd-4392534276" TargetMode="External" Id="rId129"/><Relationship Type="http://schemas.openxmlformats.org/officeDocument/2006/relationships/hyperlink" Target="https://uk.linkedin.com/jobs/view/water-design-engineer-at-timely-recruit-ltd-4395282027" TargetMode="External" Id="rId130"/><Relationship Type="http://schemas.openxmlformats.org/officeDocument/2006/relationships/hyperlink" Target="https://uk.linkedin.com/jobs/view/design-engineer-%E2%80%93-wastewater-at-timely-recruit-ltd-4395279110" TargetMode="External" Id="rId131"/><Relationship Type="http://schemas.openxmlformats.org/officeDocument/2006/relationships/hyperlink" Target="https://uk.linkedin.com/jobs/view/design-engineer-wastewater-at-timely-recruit-ltd-4395266838" TargetMode="External" Id="rId132"/><Relationship Type="http://schemas.openxmlformats.org/officeDocument/2006/relationships/hyperlink" Target="https://uk.linkedin.com/jobs/view/design-manager-water-at-jacobs-4385567081" TargetMode="External" Id="rId133"/><Relationship Type="http://schemas.openxmlformats.org/officeDocument/2006/relationships/hyperlink" Target="https://www.adzuna.co.uk/jobs/land/ad/5690395680?se=4vkUeMMw8RGPENaAeRtO7Q&amp;utm_medium=api&amp;utm_source=692fc859&amp;v=2ABBB8B0F3597ECF3FEDF77C6F72E9DF34B03A91" TargetMode="External" Id="rId134"/><Relationship Type="http://schemas.openxmlformats.org/officeDocument/2006/relationships/hyperlink" Target="https://uk.linkedin.com/jobs/view/water-design-engineer-at-timely-recruit-ltd-4399238216" TargetMode="External" Id="rId135"/><Relationship Type="http://schemas.openxmlformats.org/officeDocument/2006/relationships/hyperlink" Target="https://uk.linkedin.com/jobs/view/design-engineer-%E2%80%93-wastewater-at-timely-recruit-ltd-4399235297" TargetMode="External" Id="rId136"/><Relationship Type="http://schemas.openxmlformats.org/officeDocument/2006/relationships/hyperlink" Target="https://uk.linkedin.com/jobs/view/design-engineer-wastewater-at-timely-recruit-ltd-4399233478" TargetMode="External" Id="rId137"/><Relationship Type="http://schemas.openxmlformats.org/officeDocument/2006/relationships/hyperlink" Target="https://uk.linkedin.com/jobs/view/water-networks-modeller-at-stantec-4387706417" TargetMode="External" Id="rId138"/><Relationship Type="http://schemas.openxmlformats.org/officeDocument/2006/relationships/hyperlink" Target="https://uk.linkedin.com/jobs/view/design-engineer-water-networks-at-severn-trent-4387980897" TargetMode="External" Id="rId139"/><Relationship Type="http://schemas.openxmlformats.org/officeDocument/2006/relationships/hyperlink" Target="https://www.adzuna.co.uk/jobs/land/ad/5697214495?se=EFK6_EQ28RGxboRaoq6V0w&amp;utm_medium=api&amp;utm_source=692fc859&amp;v=9DC54A43E1740A47816900909D8E01996C41415D" TargetMode="External" Id="rId140"/><Relationship Type="http://schemas.openxmlformats.org/officeDocument/2006/relationships/hyperlink" Target="https://uk.linkedin.com/jobs/view/water-design-engineer-at-timely-recruit-ltd-4401058204" TargetMode="External" Id="rId141"/><Relationship Type="http://schemas.openxmlformats.org/officeDocument/2006/relationships/hyperlink" Target="https://uk.linkedin.com/jobs/view/design-engineer-%E2%80%93-wastewater-at-timely-recruit-ltd-4401041516" TargetMode="External" Id="rId142"/><Relationship Type="http://schemas.openxmlformats.org/officeDocument/2006/relationships/hyperlink" Target="https://uk.linkedin.com/jobs/view/design-engineer-wastewater-at-timely-recruit-ltd-4401048648" TargetMode="External" Id="rId143"/><Relationship Type="http://schemas.openxmlformats.org/officeDocument/2006/relationships/hyperlink" Target="https://www.adzuna.co.uk/jobs/land/ad/5701121576?se=uJvLAG058RGTnbdtYVacpQ&amp;utm_medium=api&amp;utm_source=692fc859&amp;v=CA174E67C1EF7948C03957F96A90826FD3766828" TargetMode="External" Id="rId144"/><Relationship Type="http://schemas.openxmlformats.org/officeDocument/2006/relationships/hyperlink" Target="https://uk.linkedin.com/jobs/view/water-design-engineer-at-timely-recruit-ltd-4403411654" TargetMode="External" Id="rId145"/><Relationship Type="http://schemas.openxmlformats.org/officeDocument/2006/relationships/hyperlink" Target="https://uk.linkedin.com/jobs/view/design-engineer-%E2%80%93-wastewater-at-timely-recruit-ltd-4403405713" TargetMode="External" Id="rId146"/><Relationship Type="http://schemas.openxmlformats.org/officeDocument/2006/relationships/hyperlink" Target="https://uk.linkedin.com/jobs/view/design-engineer-wastewater-at-timely-recruit-ltd-4403197842" TargetMode="External" Id="rId147"/><Relationship Type="http://schemas.openxmlformats.org/officeDocument/2006/relationships/hyperlink" Target="https://www.adzuna.co.uk/jobs/land/ad/5704597614?se=iMuzuJc88RG5MdAajAlS_A&amp;utm_medium=api&amp;utm_source=692fc859&amp;v=71F5948206B75C3D2C0AD5CDA71041878600A23B" TargetMode="External" Id="rId148"/><Relationship Type="http://schemas.openxmlformats.org/officeDocument/2006/relationships/hyperlink" Target="https://uk.linkedin.com/jobs/view/water-design-engineer-at-timely-recruit-ltd-4404061023" TargetMode="External" Id="rId149"/><Relationship Type="http://schemas.openxmlformats.org/officeDocument/2006/relationships/hyperlink" Target="https://uk.linkedin.com/jobs/view/design-engineer-wastewater-at-timely-recruit-ltd-4404074045" TargetMode="External" Id="rId150"/><Relationship Type="http://schemas.openxmlformats.org/officeDocument/2006/relationships/hyperlink" Target="https://uk.linkedin.com/jobs/view/design-engineer-%E2%80%93-wastewater-at-timely-recruit-ltd-4404065081" TargetMode="External" Id="rId151"/><Relationship Type="http://schemas.openxmlformats.org/officeDocument/2006/relationships/hyperlink" Target="https://www.adzuna.co.uk/jobs/land/ad/5707292910?se=-reGFe4-8RGPbvN0R7HDYQ&amp;utm_medium=api&amp;utm_source=692fc859&amp;v=C7506EA4F4384C7D9511A613B4134555F4F18F2C" TargetMode="External" Id="rId152"/><Relationship Type="http://schemas.openxmlformats.org/officeDocument/2006/relationships/hyperlink" Target="https://uk.linkedin.com/jobs/view/civil-design-engineer-water-at-shirley-parsons-4402460372" TargetMode="External" Id="rId153"/><Relationship Type="http://schemas.openxmlformats.org/officeDocument/2006/relationships/hyperlink" Target="https://www.adzuna.co.uk/jobs/land/ad/5708331425?se=wvwDIrs_8RGkOrqhmpNmcA&amp;utm_medium=api&amp;utm_source=692fc859&amp;v=ADF0577E2C016C164B0ECACD6C3DDDE851171C4D" TargetMode="External" Id="rId154"/><Relationship Type="http://schemas.openxmlformats.org/officeDocument/2006/relationships/hyperlink" Target="https://uk.linkedin.com/jobs/view/project-manager-water-infrastructure-at-atkinsr%C3%A9alis-4407170812" TargetMode="External" Id="rId155"/><Relationship Type="http://schemas.openxmlformats.org/officeDocument/2006/relationships/hyperlink" Target="https://uk.linkedin.com/jobs/view/water-design-engineer-at-timely-recruit-ltd-4407185331" TargetMode="External" Id="rId156"/><Relationship Type="http://schemas.openxmlformats.org/officeDocument/2006/relationships/hyperlink" Target="https://uk.linkedin.com/jobs/view/design-engineer-%E2%80%93-wastewater-at-timely-recruit-ltd-4407189232" TargetMode="External" Id="rId157"/><Relationship Type="http://schemas.openxmlformats.org/officeDocument/2006/relationships/hyperlink" Target="https://uk.linkedin.com/jobs/view/design-engineer-wastewater-at-timely-recruit-ltd-4407181397" TargetMode="External" Id="rId158"/><Relationship Type="http://schemas.openxmlformats.org/officeDocument/2006/relationships/hyperlink" Target="https://www.adzuna.co.uk/jobs/details/5713219773?utm_medium=api&amp;utm_source=692fc859" TargetMode="External" Id="rId159"/><Relationship Type="http://schemas.openxmlformats.org/officeDocument/2006/relationships/hyperlink" Target="https://www.adzuna.co.uk/jobs/land/ad/5712969555?se=8ohQP6pD8RGkBsRqmEnvIw&amp;utm_medium=api&amp;utm_source=692fc859&amp;v=1AB6E4BC7DF3DBC3D45644B8F6B3F0551F5F33E8" TargetMode="External" Id="rId160"/><Relationship Type="http://schemas.openxmlformats.org/officeDocument/2006/relationships/hyperlink" Target="https://www.adzuna.co.uk/jobs/land/ad/5713648971?se=HLhP0XNE8RGvraQAws-LVw&amp;utm_medium=api&amp;utm_source=692fc859&amp;v=1E14F7A4C112D686D557866ADC136C9CD2FFE3BA" TargetMode="External" Id="rId161"/><Relationship Type="http://schemas.openxmlformats.org/officeDocument/2006/relationships/hyperlink" Target="https://www.adzuna.co.uk/jobs/land/ad/5710394801?se=jG6VHztF8RGG8cXMs_QzyA&amp;utm_medium=api&amp;utm_source=692fc859&amp;v=6E651EC02F3982C004324CB560E7D071BD4D2CD7" TargetMode="External" Id="rId162"/><Relationship Type="http://schemas.openxmlformats.org/officeDocument/2006/relationships/hyperlink" Target="https://uk.linkedin.com/jobs/view/wastewater-network-modeller-at-ganymede-4406710190" TargetMode="External" Id="rId163"/><Relationship Type="http://schemas.openxmlformats.org/officeDocument/2006/relationships/hyperlink" Target="https://www.adzuna.co.uk/jobs/details/5720981400?utm_medium=api&amp;utm_source=692fc859" TargetMode="External" Id="rId164"/><Relationship Type="http://schemas.openxmlformats.org/officeDocument/2006/relationships/hyperlink" Target="https://www.adzuna.co.uk/jobs/details/5719925862?utm_medium=api&amp;utm_source=692fc859" TargetMode="External" Id="rId165"/><Relationship Type="http://schemas.openxmlformats.org/officeDocument/2006/relationships/hyperlink" Target="https://www.adzuna.co.uk/jobs/details/5722284380?utm_medium=api&amp;utm_source=692fc859" TargetMode="External" Id="rId166"/><Relationship Type="http://schemas.openxmlformats.org/officeDocument/2006/relationships/hyperlink" Target="https://www.adzuna.co.uk/jobs/details/5723438364?utm_medium=api&amp;utm_source=692fc859" TargetMode="External" Id="rId167"/><Relationship Type="http://schemas.openxmlformats.org/officeDocument/2006/relationships/hyperlink" Target="https://www.adzuna.co.uk/jobs/details/5726089037?utm_medium=api&amp;utm_source=692fc859" TargetMode="External" Id="rId168"/><Relationship Type="http://schemas.openxmlformats.org/officeDocument/2006/relationships/hyperlink" Target="https://www.adzuna.co.uk/jobs/land/ad/5725839897?se=qsYK4eRN8RGCcepBnV14HA&amp;utm_medium=api&amp;utm_source=692fc859&amp;v=2AC22FAA96D5003009C86F36F915E4E3E5B17D4C" TargetMode="External" Id="rId169"/><Relationship Type="http://schemas.openxmlformats.org/officeDocument/2006/relationships/hyperlink" Target="https://uk.linkedin.com/jobs/view/water-infrastructure-manager-aws-emea-energy-water-team-at-amazon-web-services-aws-4413498406" TargetMode="External" Id="rId170"/><Relationship Type="http://schemas.openxmlformats.org/officeDocument/2006/relationships/hyperlink" Target="https://www.adzuna.co.uk/jobs/land/ad/5727886414?se=2omYuHZP8RGpy-NTMLqdaw&amp;utm_medium=api&amp;utm_source=692fc859&amp;v=4B8BA52F7353EE0641C59DD4886D46EEB8F349FD" TargetMode="External" Id="rId171"/><Relationship Type="http://schemas.openxmlformats.org/officeDocument/2006/relationships/hyperlink" Target="https://uk.linkedin.com/jobs/view/clean-water-hydraulic-modeller-at-tetra-tech-europe-4392858520" TargetMode="External" Id="rId172"/><Relationship Type="http://schemas.openxmlformats.org/officeDocument/2006/relationships/hyperlink" Target="https://uk.linkedin.com/jobs/view/water-infrastructure-manager-aws-emea-energy-water-team-at-mygwork-lgbtq%2B-business-community-4411135497" TargetMode="External" Id="rId173"/><Relationship Type="http://schemas.openxmlformats.org/officeDocument/2006/relationships/hyperlink" Target="https://uk.linkedin.com/jobs/view/wastewater-hydraulic-modeller-at-tetra-tech-europe-4392855600" TargetMode="External" Id="rId174"/><Relationship Type="http://schemas.openxmlformats.org/officeDocument/2006/relationships/hyperlink" Target="https://www.adzuna.co.uk/jobs/details/5731489401?utm_medium=api&amp;utm_source=692fc859" TargetMode="External" Id="rId175"/><Relationship Type="http://schemas.openxmlformats.org/officeDocument/2006/relationships/hyperlink" Target="https://www.adzuna.co.uk/jobs/details/5734523009?utm_medium=api&amp;utm_source=692fc859" TargetMode="External" Id="rId176"/><Relationship Type="http://schemas.openxmlformats.org/officeDocument/2006/relationships/hyperlink" Target="https://www.adzuna.co.uk/jobs/land/ad/5736686056?se=JFfopcZV8RGUifme8P4dLA&amp;utm_medium=api&amp;utm_source=692fc859&amp;v=D2E26E7A4C74F17E1F3C47D91EE01FA642B05DBF" TargetMode="External" Id="rId177"/><Relationship Type="http://schemas.openxmlformats.org/officeDocument/2006/relationships/hyperlink" Target="https://uk.linkedin.com/jobs/view/associate-water-infrastructure-at-arup-4409080556" TargetMode="External" Id="rId178"/><Relationship Type="http://schemas.openxmlformats.org/officeDocument/2006/relationships/hyperlink" Target="https://www.adzuna.co.uk/jobs/land/ad/5737728730?se=insqOIVW8RGTDdJK-7cL6w&amp;utm_medium=api&amp;utm_source=692fc859&amp;v=92494EFB5320628C5BBA02849573FC271E1E3C1F" TargetMode="External" Id="rId179"/><Relationship Type="http://schemas.openxmlformats.org/officeDocument/2006/relationships/hyperlink" Target="https://www.adzuna.co.uk/jobs/details/5738787281?utm_medium=api&amp;utm_source=692fc859" TargetMode="External" Id="rId180"/><Relationship Type="http://schemas.openxmlformats.org/officeDocument/2006/relationships/hyperlink" Target="https://www.adzuna.co.uk/jobs/details/5739279351?utm_medium=api&amp;utm_source=692fc859" TargetMode="External" Id="rId181"/><Relationship Type="http://schemas.openxmlformats.org/officeDocument/2006/relationships/hyperlink" Target="https://uk.linkedin.com/jobs/view/wastewater-network-modeller-at-mott-macdonald-4361657932" TargetMode="External" Id="rId182"/><Relationship Type="http://schemas.openxmlformats.org/officeDocument/2006/relationships/hyperlink" Target="https://www.adzuna.co.uk/jobs/details/5739761002?utm_medium=api&amp;utm_source=692fc859" TargetMode="External" Id="rId183"/><Relationship Type="http://schemas.openxmlformats.org/officeDocument/2006/relationships/hyperlink" Target="https://uk.linkedin.com/jobs/view/hydraulic-modeller-at-pick-everard-4287966463" TargetMode="External" Id="rId184"/><Relationship Type="http://schemas.openxmlformats.org/officeDocument/2006/relationships/hyperlink" Target="https://uk.linkedin.com/jobs/view/water-systems-design-engineer-data-centre-design-engineering-at-amazon-web-services-aws-4410908450" TargetMode="External" Id="rId185"/><Relationship Type="http://schemas.openxmlformats.org/officeDocument/2006/relationships/hyperlink" Target="https://uk.linkedin.com/jobs/view/civil-engineer-wastewater-infrastructure-at-aldwych-consulting-ltd-4420975725" TargetMode="External" Id="rId186"/><Relationship Type="http://schemas.openxmlformats.org/officeDocument/2006/relationships/hyperlink" Target="https://uk.linkedin.com/jobs/view/civil-design-engineer-water-industry-at-tetra-tech-europe-4402119911" TargetMode="External" Id="rId187"/><Relationship Type="http://schemas.openxmlformats.org/officeDocument/2006/relationships/hyperlink" Target="https://uk.linkedin.com/jobs/view/water-networks-modeller-at-stantec-4422021642" TargetMode="External" Id="rId188"/><Relationship Type="http://schemas.openxmlformats.org/officeDocument/2006/relationships/hyperlink" Target="https://www.adzuna.co.uk/jobs/details/5744679201?utm_medium=api&amp;utm_source=692fc859" TargetMode="External" Id="rId189"/><Relationship Type="http://schemas.openxmlformats.org/officeDocument/2006/relationships/hyperlink" Target="https://www.adzuna.co.uk/jobs/details/5746799128?utm_medium=api&amp;utm_source=692fc859" TargetMode="External" Id="rId190"/><Relationship Type="http://schemas.openxmlformats.org/officeDocument/2006/relationships/hyperlink" Target="https://www.adzuna.co.uk/jobs/land/ad/5744639850?se=FsK6B7Vd8RGae8NIOTuYwg&amp;utm_medium=api&amp;utm_source=692fc859&amp;v=BA9BEA5E0C13F7A42B6F07326404D481874D8B64" TargetMode="External" Id="rId191"/><Relationship Type="http://schemas.openxmlformats.org/officeDocument/2006/relationships/hyperlink" Target="https://uk.linkedin.com/jobs/view/water-civil-design-engineers-engineers-north-west-various-locations-and-various-levels-at-tetra-tech-europe-4413229010" TargetMode="External" Id="rId192"/><Relationship Type="http://schemas.openxmlformats.org/officeDocument/2006/relationships/hyperlink" Target="https://www.adzuna.co.uk/jobs/land/ad/5751306893?se=fOLSegBg8RGpofrea83FBQ&amp;utm_medium=api&amp;utm_source=692fc859&amp;v=B2849AC940FB1BC21AECA38CE12E95129FDF8C61" TargetMode="External" Id="rId193"/><Relationship Type="http://schemas.openxmlformats.org/officeDocument/2006/relationships/hyperlink" Target="https://uk.linkedin.com/jobs/view/associate-water-infrastructure-at-arup-4422982088" TargetMode="External" Id="rId194"/><Relationship Type="http://schemas.openxmlformats.org/officeDocument/2006/relationships/hyperlink" Target="https://uk.linkedin.com/jobs/view/wastewater-design-civil-engineer-at-finlay-jude-associates-ltd-4420157553" TargetMode="External" Id="rId195"/><Relationship Type="http://schemas.openxmlformats.org/officeDocument/2006/relationships/hyperlink" Target="https://www.adzuna.co.uk/jobs/land/ad/5753590723?se=2gFTMIhh8RGn0Z1dKY-zHQ&amp;utm_medium=api&amp;utm_source=692fc859&amp;v=C65278FCC3211310B148779A5E4C08CA03B3C4B6" TargetMode="External" Id="rId196"/><Relationship Type="http://schemas.openxmlformats.org/officeDocument/2006/relationships/hyperlink" Target="https://uk.linkedin.com/jobs/view/civil-engineer-wastewater-infrastructure-at-aldwych-consulting-ltd-4424199813" TargetMode="External" Id="rId197"/><Relationship Type="http://schemas.openxmlformats.org/officeDocument/2006/relationships/hyperlink" Target="https://uk.linkedin.com/jobs/view/civil-design-engineer-water-industry-at-tetra-tech-europe-4392855595" TargetMode="External" Id="rId198"/><Relationship Type="http://schemas.openxmlformats.org/officeDocument/2006/relationships/hyperlink" Target="https://uk.linkedin.com/jobs/view/hydrologist-flood-hydraulic-modeller-at-stantec-4425258990" TargetMode="External" Id="rId199"/><Relationship Type="http://schemas.openxmlformats.org/officeDocument/2006/relationships/hyperlink" Target="https://uk.linkedin.com/jobs/view/civil-design-engineer-water-industry-at-tetra-tech-europe-4425813021" TargetMode="External" Id="rId200"/><Relationship Type="http://schemas.openxmlformats.org/officeDocument/2006/relationships/hyperlink" Target="https://uk.linkedin.com/jobs/view/clean-water-hydraulic-modeller-at-tetra-tech-europe-4426707254" TargetMode="External" Id="rId201"/><Relationship Type="http://schemas.openxmlformats.org/officeDocument/2006/relationships/hyperlink" Target="https://uk.linkedin.com/jobs/view/civil-design-engineer-water-industry-at-tetra-tech-europe-4426002121" TargetMode="External" Id="rId202"/><Relationship Type="http://schemas.openxmlformats.org/officeDocument/2006/relationships/hyperlink" Target="https://uk.linkedin.com/jobs/view/wastewater-civil-design-engineer-at-finlay-jude-associates-ltd-4427019626" TargetMode="External" Id="rId203"/><Relationship Type="http://schemas.openxmlformats.org/officeDocument/2006/relationships/hyperlink" Target="https://uk.linkedin.com/jobs/view/civil-design-engineer-water-sector-amp8-at-arcadis-4424891142" TargetMode="External" Id="rId204"/><Relationship Type="http://schemas.openxmlformats.org/officeDocument/2006/relationships/hyperlink" Target="https://uk.linkedin.com/jobs/view/wastewater-design-civil-engineer-at-m-group-water-4395314315" TargetMode="External" Id="rId205"/><Relationship Type="http://schemas.openxmlformats.org/officeDocument/2006/relationships/hyperlink" Target="https://uk.linkedin.com/jobs/view/design-manager-water-sector-at-stantec-4318613147" TargetMode="External" Id="rId206"/><Relationship Type="http://schemas.openxmlformats.org/officeDocument/2006/relationships/hyperlink" Target="https://www.adzuna.co.uk/jobs/land/ad/5766698334?se=mku7LQVr8RGotaYrHOwyUw&amp;utm_medium=api&amp;utm_source=692fc859&amp;v=DF3DDC996C1E38DA34152FF5E8E265BF3698E5F2" TargetMode="External" Id="rId207"/><Relationship Type="http://schemas.openxmlformats.org/officeDocument/2006/relationships/hyperlink" Target="https://uk.linkedin.com/jobs/view/civil-design-engineer-wastewater-infrastructure-at-j-t-business-consulting-4429060149" TargetMode="External" Id="rId208"/><Relationship Type="http://schemas.openxmlformats.org/officeDocument/2006/relationships/hyperlink" Target="https://uk.linkedin.com/jobs/view/water-networks-modeller-at-stantec-4422023593" TargetMode="External" Id="rId209"/><Relationship Type="http://schemas.openxmlformats.org/officeDocument/2006/relationships/hyperlink" Target="https://www.adzuna.co.uk/jobs/details/5772766788?utm_medium=api&amp;utm_source=692fc859" TargetMode="External" Id="rId210"/><Relationship Type="http://schemas.openxmlformats.org/officeDocument/2006/relationships/hyperlink" Target="https://uk.linkedin.com/jobs/view/civil-design-engineer-water-at-matchtech-4432213546" TargetMode="External" Id="rId211"/><Relationship Type="http://schemas.openxmlformats.org/officeDocument/2006/relationships/hyperlink" Target="https://uk.linkedin.com/jobs/view/eoi-project-management-roles-water-infrastructure-projects-at-pershing-consultants-4431272108" TargetMode="External" Id="rId212"/><Relationship Type="http://schemas.openxmlformats.org/officeDocument/2006/relationships/hyperlink" Target="https://www.adzuna.co.uk/jobs/details/5775689237?utm_medium=api&amp;utm_source=692fc859" TargetMode="External" Id="rId213"/><Relationship Type="http://schemas.openxmlformats.org/officeDocument/2006/relationships/hyperlink" Target="https://uk.linkedin.com/jobs/view/water-civil-design-engineers-engineers-north-west-various-locations-and-various-levels-at-tetra-tech-europe-4413217667" TargetMode="External" Id="rId214"/><Relationship Type="http://schemas.openxmlformats.org/officeDocument/2006/relationships/hyperlink" Target="https://www.adzuna.co.uk/jobs/land/ad/5776859028?se=tAS-UEdx8RGsIanP2I3jsQ&amp;utm_medium=api&amp;utm_source=692fc859&amp;v=97250EEE535FC3653292AE946FFC074E26E466AB" TargetMode="External" Id="rId215"/><Relationship Type="http://schemas.openxmlformats.org/officeDocument/2006/relationships/hyperlink" Target="https://www.adzuna.co.uk/jobs/land/ad/5776706214?se=tAS-UEdx8RGsIanP2I3jsQ&amp;utm_medium=api&amp;utm_source=692fc859&amp;v=0D255BE7E2E6FF6B504A9D57A109C11055C3C485" TargetMode="External" Id="rId216"/><Relationship Type="http://schemas.openxmlformats.org/officeDocument/2006/relationships/hyperlink" Target="https://uk.linkedin.com/jobs/view/hydraulic-modeller-flood-risk-management-at-jacobs-4415564994" TargetMode="External" Id="rId217"/><Relationship Type="http://schemas.openxmlformats.org/officeDocument/2006/relationships/hyperlink" Target="https://uk.linkedin.com/jobs/view/water-design-manager-at-aecom-4434318454" TargetMode="External" Id="rId218"/><Relationship Type="http://schemas.openxmlformats.org/officeDocument/2006/relationships/hyperlink" Target="https://uk.linkedin.com/jobs/view/wastewater-network-modeller-at-mott-macdonald-4435191029" TargetMode="External" Id="rId219"/><Relationship Type="http://schemas.openxmlformats.org/officeDocument/2006/relationships/hyperlink" Target="https://uk.linkedin.com/jobs/view/wastewater-design-civil-engineer-at-finlay-jude-associates-ltd-4432722600" TargetMode="External" Id="rId220"/><Relationship Type="http://schemas.openxmlformats.org/officeDocument/2006/relationships/hyperlink" Target="https://uk.linkedin.com/jobs/view/wastewater-network-modeller-at-mott-macdonald-4426773653" TargetMode="External" Id="rId221"/><Relationship Type="http://schemas.openxmlformats.org/officeDocument/2006/relationships/hyperlink" Target="https://www.adzuna.co.uk/jobs/details/5785636045?utm_medium=api&amp;utm_source=692fc859" TargetMode="External" Id="rId222"/><Relationship Type="http://schemas.openxmlformats.org/officeDocument/2006/relationships/hyperlink" Target="https://uk.linkedin.com/jobs/view/wastewater-network-modeller-at-wsp-in-the-uk-ireland-4436306520" TargetMode="External" Id="rId223"/><Relationship Type="http://schemas.openxmlformats.org/officeDocument/2006/relationships/hyperlink" Target="https://uk.linkedin.com/jobs/view/civil-design-engineer-water-sector-amp8-at-arcadis-4424886793" TargetMode="External" Id="rId224"/><Relationship Type="http://schemas.openxmlformats.org/officeDocument/2006/relationships/hyperlink" Target="https://www.adzuna.co.uk/jobs/land/ad/5791166747?se=HLLiya168RGupb8AMX6CVw&amp;utm_medium=api&amp;utm_source=692fc859&amp;v=5D9BDD0B0ADA77C9F463CB5C70D2C3C1E0B26347" TargetMode="External" Id="rId225"/><Relationship Type="http://schemas.openxmlformats.org/officeDocument/2006/relationships/hyperlink" Target="https://uk.linkedin.com/jobs/view/water-networks-modeller-at-stantec-4436814787" TargetMode="External" Id="rId226"/><Relationship Type="http://schemas.openxmlformats.org/officeDocument/2006/relationships/hyperlink" Target="https://www.adzuna.co.uk/jobs/details/5793491083?utm_medium=api&amp;utm_source=692fc859" TargetMode="External" Id="rId227"/><Relationship Type="http://schemas.openxmlformats.org/officeDocument/2006/relationships/hyperlink" Target="https://uk.linkedin.com/jobs/view/clean-water-network-modellers-engineers-all-grades-at-atkinsr%C3%A9alis-4438211587" TargetMode="External" Id="rId228"/><Relationship Type="http://schemas.openxmlformats.org/officeDocument/2006/relationships/hyperlink" Target="https://uk.linkedin.com/jobs/view/wastewater-hydraulic-modeller-%E2%80%93-modeller-to-associate-at-atkinsr%C3%A9alis-4438805112" TargetMode="External" Id="rId229"/><Relationship Type="http://schemas.openxmlformats.org/officeDocument/2006/relationships/hyperlink" Target="https://uk.linkedin.com/jobs/view/wastewater-hydraulic-modeller-at-tetra-tech-europe-4437570040" TargetMode="External" Id="rId230"/><Relationship Type="http://schemas.openxmlformats.org/officeDocument/2006/relationships/hyperlink" Target="https://uk.linkedin.com/jobs/view/design-manager-wastewater-infrastructure-at-cowi-4407619084" TargetMode="External" Id="rId231"/><Relationship Type="http://schemas.openxmlformats.org/officeDocument/2006/relationships/hyperlink" Target="https://uk.linkedin.com/jobs/view/civil-design-engineer-water-wastewater-at-cowi-4402378813" TargetMode="External" Id="rId232"/><Relationship Type="http://schemas.openxmlformats.org/officeDocument/2006/relationships/hyperlink" Target="https://uk.linkedin.com/jobs/view/civil-design-engineer-water-wastewater-at-cowi-4402365839" TargetMode="External" Id="rId233"/><Relationship Type="http://schemas.openxmlformats.org/officeDocument/2006/relationships/hyperlink" Target="https://uk.linkedin.com/jobs/view/wastewater-hydraulic-modeller-at-atkinsr%C3%A9alis-4440019827" TargetMode="External" Id="rId234"/><Relationship Type="http://schemas.openxmlformats.org/officeDocument/2006/relationships/hyperlink" Target="https://uk.linkedin.com/jobs/view/wastewater-hydraulic-modeller-%E2%80%93-modeller-to-associate-at-atkinsr%C3%A9alis-4440098018" TargetMode="External" Id="rId235"/><Relationship Type="http://schemas.openxmlformats.org/officeDocument/2006/relationships/hyperlink" Target="https://uk.linkedin.com/jobs/view/hydraulic-modeller-uk-water-wastewater-at-egis-4440968675" TargetMode="External" Id="rId236"/><Relationship Type="http://schemas.openxmlformats.org/officeDocument/2006/relationships/hyperlink" Target="https://uk.linkedin.com/jobs/view/wastewater-hydraulic-modeller-at-atkinsr%C3%A9alis-4440090449" TargetMode="External" Id="rId237"/><Relationship Type="http://schemas.openxmlformats.org/officeDocument/2006/relationships/hyperlink" Target="https://uk.linkedin.com/jobs/view/clean-water-hydraulic-modeller-at-tetra-tech-europe-4426717109" TargetMode="External" Id="rId238"/><Relationship Type="http://schemas.openxmlformats.org/officeDocument/2006/relationships/hyperlink" Target="https://uk.linkedin.com/jobs/view/wastewater-network-modeller-at-mott-macdonald-4426769711" TargetMode="External" Id="rId239"/><Relationship Type="http://schemas.openxmlformats.org/officeDocument/2006/relationships/hyperlink" Target="https://uk.linkedin.com/jobs/view/civil-design-engineer-water-sector-amp8-at-arcadis-4424895117" TargetMode="External" Id="rId240"/><Relationship Type="http://schemas.openxmlformats.org/officeDocument/2006/relationships/hyperlink" Target="https://www.adzuna.co.uk/jobs/land/ad/5815365066?se=UEy6LtGI8RGddIEyCz17mQ&amp;utm_medium=api&amp;utm_source=692fc859&amp;v=E3EA1219F9492D063C9D46AC8E2DFB5F3FD05E24" TargetMode="External" Id="rId241"/><Relationship Type="http://schemas.openxmlformats.org/officeDocument/2006/relationships/hyperlink" Target="https://uk.linkedin.com/jobs/view/flood-risk-hydraulic-modeller-at-hays-4446324658" TargetMode="External" Id="rId242"/><Relationship Type="http://schemas.openxmlformats.org/officeDocument/2006/relationships/hyperlink" Target="https://uk.linkedin.com/jobs/view/water-networks-modeller-at-stantec-4436820688" TargetMode="External" Id="rId243"/><Relationship Type="http://schemas.openxmlformats.org/officeDocument/2006/relationships/hyperlink" Target="https://uk.linkedin.com/jobs/view/wastewater-hydraulic-modeller-at-tetra-tech-europe-4437549844" TargetMode="External" Id="rId244"/><Relationship Type="http://schemas.openxmlformats.org/officeDocument/2006/relationships/hyperlink" Target="https://uk.linkedin.com/jobs/view/civil-design-engineer-water-wastewater-at-cowi-4402367856" TargetMode="External" Id="rId245"/><Relationship Type="http://schemas.openxmlformats.org/officeDocument/2006/relationships/hyperlink" Target="https://uk.linkedin.com/jobs/view/water-networks-modeller-at-stantec-4448282503" TargetMode="External" Id="rId246"/><Relationship Type="http://schemas.openxmlformats.org/officeDocument/2006/relationships/hyperlink" Target="https://uk.linkedin.com/jobs/view/civil-design-engineering-manager-water-services-at-binnies-4449641279" TargetMode="External" Id="rId247"/><Relationship Type="http://schemas.openxmlformats.org/officeDocument/2006/relationships/hyperlink" Target="https://uk.linkedin.com/jobs/view/expression-of-interest-design-manager-water-sector-at-stantec-4414460631" TargetMode="External" Id="rId248"/><Relationship Type="http://schemas.openxmlformats.org/officeDocument/2006/relationships/hyperlink" Target="https://uk.linkedin.com/jobs/view/hydraulic-modellers-flood-risk-management-at-jacobs-4451581105" TargetMode="External" Id="rId249"/><Relationship Type="http://schemas.openxmlformats.org/officeDocument/2006/relationships/hyperlink" Target="https://uk.linkedin.com/jobs/view/hydraulic-modeller-%E2%80%93-water-wastewater-at-arup-4451668859" TargetMode="External" Id="rId250"/><Relationship Type="http://schemas.openxmlformats.org/officeDocument/2006/relationships/hyperlink" Target="https://uk.linkedin.com/jobs/view/hydrologist-flood-hydraulic-modeller-at-stantec-4425264953" TargetMode="External" Id="rId251"/><Relationship Type="http://schemas.openxmlformats.org/officeDocument/2006/relationships/hyperlink" Target="https://uk.linkedin.com/jobs/view/civil-design-engineer-water-industry-at-tetra-tech-europe-4425881658" TargetMode="External" Id="rId252"/><Relationship Type="http://schemas.openxmlformats.org/officeDocument/2006/relationships/hyperlink" Target="https://uk.linkedin.com/jobs/view/clean-water-hydraulic-modeller-at-tetra-tech-europe-4426707257" TargetMode="External" Id="rId253"/><Relationship Type="http://schemas.openxmlformats.org/officeDocument/2006/relationships/hyperlink" Target="https://uk.linkedin.com/jobs/view/civil-design-engineer-water-industry-at-tetra-tech-europe-4425889533" TargetMode="External" Id="rId254"/><Relationship Type="http://schemas.openxmlformats.org/officeDocument/2006/relationships/hyperlink" Target="https://uk.linkedin.com/jobs/view/wastewater-network-modeller-at-wsp-in-the-uk-ireland-4436311433" TargetMode="External" Id="rId255"/><Relationship Type="http://schemas.openxmlformats.org/officeDocument/2006/relationships/hyperlink" Target="https://uk.linkedin.com/jobs/view/civil-design-engineer-%E2%80%93-water-utilities-id-lee0000p9-at-arup-4453573574" TargetMode="External" Id="rId256"/><Relationship Type="http://schemas.openxmlformats.org/officeDocument/2006/relationships/hyperlink" Target="https://uk.linkedin.com/jobs/view/civil-design-engineer-%E2%80%93-water-utilities-at-arup-4454553714" TargetMode="External" Id="rId257"/><Relationship Type="http://schemas.openxmlformats.org/officeDocument/2006/relationships/hyperlink" Target="https://uk.linkedin.com/jobs/view/civil-design-engineer-water-industry-at-tetra-tech-europe-4425882637" TargetMode="External" Id="rId258"/><Relationship Type="http://schemas.openxmlformats.org/officeDocument/2006/relationships/hyperlink" Target="https://uk.linkedin.com/jobs/view/wastewater-network-modeller-at-wsp-in-the-uk-ireland-4444985624" TargetMode="External" Id="rId259"/><Relationship Type="http://schemas.openxmlformats.org/officeDocument/2006/relationships/hyperlink" Target="https://uk.linkedin.com/jobs/view/civil-design-engineer-water-sector-amp8-at-arcadis-4424884999" TargetMode="External" Id="rId260"/><Relationship Type="http://schemas.openxmlformats.org/officeDocument/2006/relationships/hyperlink" Target="https://uk.linkedin.com/jobs/view/design-manager-water-sector-at-stantec-4435441318" TargetMode="External" Id="rId261"/><Relationship Type="http://schemas.openxmlformats.org/officeDocument/2006/relationships/hyperlink" Target="https://uk.linkedin.com/jobs/view/civil-design-engineer-water-sector-amp8-at-arcadis-4425302050" TargetMode="External" Id="rId262"/><Relationship Type="http://schemas.openxmlformats.org/officeDocument/2006/relationships/hyperlink" Target="https://uk.linkedin.com/jobs/view/design-engineer-water-at-ernest-gordon-recruitment-4455319280" TargetMode="External" Id="rId263"/><Relationship Type="http://schemas.openxmlformats.org/officeDocument/2006/relationships/hyperlink" Target="https://uk.linkedin.com/jobs/view/wastewater-hydraulic-modeller-at-tetra-tech-europe-4437566124" TargetMode="External" Id="rId264"/><Relationship Type="http://schemas.openxmlformats.org/officeDocument/2006/relationships/hyperlink" Target="https://uk.linkedin.com/jobs/view/flood-risk-hydraulic-modeller-at-hays-4457351641" TargetMode="External" Id="rId265"/><Relationship Type="http://schemas.openxmlformats.org/officeDocument/2006/relationships/hyperlink" Target="https://www.adzuna.co.uk/jobs/land/ad/5851314668?se=WuZ2A_qd8RGd9P0cPxH_5A&amp;utm_medium=api&amp;utm_source=692fc859&amp;v=4397E1EA15A945FF2EDB0D0A50F8891C589D2BEF" TargetMode="External" Id="rId266"/><Relationship Type="http://schemas.openxmlformats.org/officeDocument/2006/relationships/hyperlink" Target="https://uk.linkedin.com/jobs/view/design-engineer-water-at-ernest-gordon-recruitment-4457372153" TargetMode="External" Id="rId267"/><Relationship Type="http://schemas.openxmlformats.org/officeDocument/2006/relationships/hyperlink" Target="https://uk.linkedin.com/jobs/view/navcom-field-service-engineer-at-elvis-eckardt-recruitment-4435547272" TargetMode="External" Id="rId268"/><Relationship Type="http://schemas.openxmlformats.org/officeDocument/2006/relationships/hyperlink" Target="https://uk.linkedin.com/jobs/view/engineering-supervisor-pumps-water-infrastructure-at-ernest-gordon-recruitment-4457870411" TargetMode="External" Id="rId269"/><Relationship Type="http://schemas.openxmlformats.org/officeDocument/2006/relationships/hyperlink" Target="https://uk.linkedin.com/jobs/view/hydraulic-modeller-uk-water-wastewater-at-egis-4459692373" TargetMode="External" Id="rId270"/><Relationship Type="http://schemas.openxmlformats.org/officeDocument/2006/relationships/hyperlink" Target="https://uk.linkedin.com/jobs/view/civil-designer-water-at-jacobs-4459865317" TargetMode="External" Id="rId271"/><Relationship Type="http://schemas.openxmlformats.org/officeDocument/2006/relationships/hyperlink" Target="https://uk.linkedin.com/jobs/view/design-manager-water-sector-at-stantec-4458983723" TargetMode="External" Id="rId272"/><Relationship Type="http://schemas.openxmlformats.org/officeDocument/2006/relationships/hyperlink" Target="https://uk.linkedin.com/jobs/view/wastewater-design-civil-engineer-at-finlay-jude-recruitment-ltd-4458452543" TargetMode="External" Id="rId273"/><Relationship Type="http://schemas.openxmlformats.org/officeDocument/2006/relationships/hyperlink" Target="https://uk.linkedin.com/jobs/view/expression-of-interest-design-manager-water-sector-at-stantec-4414462497" TargetMode="External" Id="rId274"/><Relationship Type="http://schemas.openxmlformats.org/officeDocument/2006/relationships/hyperlink" Target="https://uk.linkedin.com/jobs/view/expression-of-interest-design-manager-water-sector-at-stantec-4414463525" TargetMode="External" Id="rId275"/><Relationship Type="http://schemas.openxmlformats.org/officeDocument/2006/relationships/hyperlink" Target="https://uk.linkedin.com/jobs/view/wastewater-network-modeller-at-mott-macdonald-4461727103" TargetMode="External" Id="rId276"/><Relationship Type="http://schemas.openxmlformats.org/officeDocument/2006/relationships/hyperlink" Target="https://uk.linkedin.com/jobs/view/civil-design-engineer-water-industry-at-tetra-tech-europe-4425889534" TargetMode="External" Id="rId277"/><Relationship Type="http://schemas.openxmlformats.org/officeDocument/2006/relationships/hyperlink" Target="https://uk.linkedin.com/jobs/view/wastewater-network-modeller-at-wsp-in-the-uk-ireland-4436314355" TargetMode="External" Id="rId278"/><Relationship Type="http://schemas.openxmlformats.org/officeDocument/2006/relationships/hyperlink" Target="https://uk.linkedin.com/jobs/view/civil-design-engineer-water-industry-at-tetra-tech-europe-4425894510" TargetMode="External" Id="rId279"/><Relationship Type="http://schemas.openxmlformats.org/officeDocument/2006/relationships/hyperlink" Target="https://uk.linkedin.com/jobs/view/hydraulic-project-design-engineer-at-maritime-developments-limited-4463355120" TargetMode="External" Id="rId280"/><Relationship Type="http://schemas.openxmlformats.org/officeDocument/2006/relationships/hyperlink" Target="https://uk.linkedin.com/jobs/view/water-network-analyst-at-nwg-northumbrian-water-group-4461987267" TargetMode="External" Id="rId281"/><Relationship Type="http://schemas.openxmlformats.org/officeDocument/2006/relationships/hyperlink" Target="https://uk.linkedin.com/jobs/view/water-network-controller-at-south-staffs-water-4462317383" TargetMode="External" Id="rId282"/><Relationship Type="http://schemas.openxmlformats.org/officeDocument/2006/relationships/hyperlink" Target="https://uk.linkedin.com/jobs/view/civil-design-engineer-%E2%80%93-water-infrastructure-projects-%E2%80%93-20310-at-rr-4463383337" TargetMode="External" Id="rId283"/><Relationship Type="http://schemas.openxmlformats.org/officeDocument/2006/relationships/hyperlink" Target="https://uk.linkedin.com/jobs/view/civil-design-engineer-water-sector-amp8-at-arcadis-4425305032" TargetMode="External" Id="rId284"/><Relationship Type="http://schemas.openxmlformats.org/officeDocument/2006/relationships/hyperlink" Target="https://uk.linkedin.com/jobs/view/wastewater-network-modeller-at-wsp-in-the-uk-ireland-4444989478" TargetMode="External" Id="rId285"/><Relationship Type="http://schemas.openxmlformats.org/officeDocument/2006/relationships/hyperlink" Target="https://www.adzuna.co.uk/jobs/land/ad/5874060820?se=yjJ_obyq8RGO9_HyZZVOKQ&amp;utm_medium=api&amp;utm_source=692fc859&amp;v=686D3091F26F7818DBC19BC051E31E4656683779" TargetMode="External" Id="rId286"/><Relationship Type="http://schemas.openxmlformats.org/officeDocument/2006/relationships/hyperlink" Target="https://www.adzuna.co.uk/jobs/land/ad/5874139679?se=TtzSJHur8RGKNpKr2lhcuA&amp;utm_medium=api&amp;utm_source=692fc859&amp;v=7904B944FB5CCFF30E9C991EA97B786B072A384E" TargetMode="External" Id="rId287"/><Relationship Type="http://schemas.openxmlformats.org/officeDocument/2006/relationships/hyperlink" Target="https://uk.linkedin.com/jobs/view/civil-design-engineer-water-infrastructure-projects-at-chg-electrical-4464345307" TargetMode="External" Id="rId288"/><Relationship Type="http://schemas.openxmlformats.org/officeDocument/2006/relationships/hyperlink" Target="https://www.adzuna.co.uk/jobs/details/5877892200?utm_medium=api&amp;utm_source=692fc859" TargetMode="External" Id="rId289"/><Relationship Type="http://schemas.openxmlformats.org/officeDocument/2006/relationships/hyperlink" Target="https://uk.linkedin.com/jobs/view/wastewater-hydraulic-modeller-at-tetra-tech-europe-4437557340" TargetMode="External" Id="rId290"/><Relationship Type="http://schemas.openxmlformats.org/officeDocument/2006/relationships/hyperlink" Target="https://uk.linkedin.com/jobs/view/senior-civil-engineer-water-infrastructure-at-sweco-4457281228" TargetMode="External" Id="rId291"/><Relationship Type="http://schemas.openxmlformats.org/officeDocument/2006/relationships/hyperlink" Target="https://uk.linkedin.com/jobs/view/civil-design-engineer-water-infrastructure-projects-at-chg-electrical-4468239175" TargetMode="External" Id="rId292"/><Relationship Type="http://schemas.openxmlformats.org/officeDocument/2006/relationships/hyperlink" Target="https://uk.linkedin.com/jobs/view/civil-design-engineer-water-infrastructure-projects-at-chg-electrical-4469146310" TargetMode="External" Id="rId293"/><Relationship Type="http://schemas.openxmlformats.org/officeDocument/2006/relationships/hyperlink" Target="https://uk.linkedin.com/jobs/view/civil-designer-water-at-jacobs-4459876281" TargetMode="External" Id="rId294"/><Relationship Type="http://schemas.openxmlformats.org/officeDocument/2006/relationships/hyperlink" Target="https://uk.linkedin.com/jobs/view/clean-water-hydraulic-modeller-at-tetra-tech-europe-4468430360" TargetMode="External" Id="rId295"/><Relationship Type="http://schemas.openxmlformats.org/officeDocument/2006/relationships/hyperlink" Target="https://uk.linkedin.com/jobs/view/expression-of-interest-design-manager-water-sector-at-stantec-4414473480" TargetMode="External" Id="rId296"/><Relationship Type="http://schemas.openxmlformats.org/officeDocument/2006/relationships/hyperlink" Target="https://uk.linkedin.com/jobs/view/design-manager-water-sector-at-stantec-4458984741" TargetMode="External" Id="rId297"/><Relationship Type="http://schemas.openxmlformats.org/officeDocument/2006/relationships/hyperlink" Target="https://www.adzuna.co.uk/jobs/land/ad/5861110603?se=6HtBUkm38RGpV9S3FnLg6g&amp;utm_medium=api&amp;utm_source=692fc859&amp;v=0E10F6429FC3DEB57B858F09CCF992BBCC1AC9D1" TargetMode="External" Id="rId298"/><Relationship Type="http://schemas.openxmlformats.org/officeDocument/2006/relationships/hyperlink" Target="https://uk.linkedin.com/jobs/view/civil-design-engineer-%E2%80%93-water-infrastructure-projects-%E2%80%93-20324-at-rr-4469177520" TargetMode="External" Id="rId299"/><Relationship Type="http://schemas.openxmlformats.org/officeDocument/2006/relationships/hyperlink" Target="https://uk.linkedin.com/jobs/view/wastewater-network-modeller-at-mott-macdonald-4462078794" TargetMode="External" Id="rId300"/><Relationship Type="http://schemas.openxmlformats.org/officeDocument/2006/relationships/hyperlink" Target="https://www.adzuna.co.uk/jobs/land/ad/5861110531?se=bupTrdu48RGOf6RAffbkhQ&amp;utm_medium=api&amp;utm_source=692fc859&amp;v=C1D593E892875E0B53B4A3A656AB024A22175727" TargetMode="External" Id="rId301"/><Relationship Type="http://schemas.openxmlformats.org/officeDocument/2006/relationships/hyperlink" Target="https://uk.linkedin.com/jobs/view/wastewater-network-modeller-at-mott-macdonald-4472049546" TargetMode="External" Id="rId302"/><Relationship Type="http://schemas.openxmlformats.org/officeDocument/2006/relationships/hyperlink" Target="https://uk.linkedin.com/jobs/view/hydraulic-design-engineer-projects-deck-equipment-at-ernest-gordon-recruitment-4472296411" TargetMode="External" Id="rId303"/><Relationship Type="http://schemas.openxmlformats.org/officeDocument/2006/relationships/hyperlink" Target="https://uk.linkedin.com/jobs/view/hydraulic-design-engineer-projects-deck-equipment-at-ernest-gordon-recruitment-4471247671" TargetMode="External" Id="rId304"/><Relationship Type="http://schemas.openxmlformats.org/officeDocument/2006/relationships/hyperlink" Target="https://uk.linkedin.com/jobs/view/civil-design-engineer-water-sector-amp8-at-arcadis-4424892138" TargetMode="External" Id="rId305"/><Relationship Type="http://schemas.openxmlformats.org/officeDocument/2006/relationships/hyperlink" Target="https://uk.linkedin.com/jobs/view/clean-water-network-engineer-at-celnor-group-4466353373" TargetMode="External" Id="rId306"/><Relationship Type="http://schemas.openxmlformats.org/officeDocument/2006/relationships/hyperlink" Target="https://uk.linkedin.com/jobs/view/water-network-analyst-at-nwg-northumbrian-water-group-4475027361" TargetMode="External" Id="rId307"/><Relationship Type="http://schemas.openxmlformats.org/officeDocument/2006/relationships/hyperlink" Target="https://uk.linkedin.com/jobs/view/wastewater-hydraulic-modeller-modeller-to-associate-at-talent-link-4474278726" TargetMode="External" Id="rId308"/><Relationship Type="http://schemas.openxmlformats.org/officeDocument/2006/relationships/hyperlink" Target="https://www.adzuna.co.uk/jobs/details/5912191368?utm_medium=api&amp;utm_source=692fc859" TargetMode="External" Id="rId309"/><Relationship Type="http://schemas.openxmlformats.org/officeDocument/2006/relationships/hyperlink" Target="https://www.adzuna.co.uk/jobs/details/5912191388?utm_medium=api&amp;utm_source=692fc859" TargetMode="External" Id="rId310"/><Relationship Type="http://schemas.openxmlformats.org/officeDocument/2006/relationships/hyperlink" Target="https://uk.linkedin.com/jobs/view/civil-designer-water-design-build-at-jacobs-4475832333" TargetMode="External" Id="rId311"/><Relationship Type="http://schemas.openxmlformats.org/officeDocument/2006/relationships/hyperlink" Target="https://www.adzuna.co.uk/jobs/land/ad/5914191570?se=BkUIeiHD8RGehKgrpTYXiQ&amp;utm_medium=api&amp;utm_source=692fc859&amp;v=9E699E453C17E0FE996A518C6D92C8FA61D41BD8" TargetMode="External" Id="rId312"/><Relationship Type="http://schemas.openxmlformats.org/officeDocument/2006/relationships/hyperlink" Target="https://uk.linkedin.com/jobs/view/hydraulic-flood-modeller-at-tiptopjob-4477184269" TargetMode="External" Id="rId313"/><Relationship Type="http://schemas.openxmlformats.org/officeDocument/2006/relationships/hyperlink" Target="https://www.adzuna.co.uk/jobs/details/5919675030?utm_medium=api&amp;utm_source=692fc859" TargetMode="External" Id="rId314"/><Relationship Type="http://schemas.openxmlformats.org/officeDocument/2006/relationships/hyperlink" Target="https://www.adzuna.co.uk/jobs/details/5919674557?utm_medium=api&amp;utm_source=692fc859" TargetMode="External" Id="rId315"/><Relationship Type="http://schemas.openxmlformats.org/officeDocument/2006/relationships/hyperlink" Target="https://uk.linkedin.com/jobs/view/senior-civil-engineer-water-infrastructure-at-sweco-4457269406" TargetMode="External" Id="rId316"/><Relationship Type="http://schemas.openxmlformats.org/officeDocument/2006/relationships/hyperlink" Target="https://www.adzuna.co.uk/jobs/details/5921401063?utm_medium=api&amp;utm_source=692fc859" TargetMode="External" Id="rId317"/><Relationship Type="http://schemas.openxmlformats.org/officeDocument/2006/relationships/hyperlink" Target="https://www.adzuna.co.uk/jobs/details/5921401011?utm_medium=api&amp;utm_source=692fc859" TargetMode="External" Id="rId318"/><Relationship Type="http://schemas.openxmlformats.org/officeDocument/2006/relationships/hyperlink" Target="https://uk.linkedin.com/jobs/view/civil-design-engineer-water-infrastructure-projects-at-chg-electrical-4478538551" TargetMode="External" Id="rId319"/><Relationship Type="http://schemas.openxmlformats.org/officeDocument/2006/relationships/hyperlink" Target="https://www.adzuna.co.uk/jobs/details/5926132543?utm_medium=api&amp;utm_source=692fc859" TargetMode="External" Id="rId320"/><Relationship Type="http://schemas.openxmlformats.org/officeDocument/2006/relationships/hyperlink" Target="https://www.adzuna.co.uk/jobs/land/ad/5927958624?se=xoNblJHI8RGWqf9-BUxAEA&amp;utm_medium=api&amp;utm_source=692fc859&amp;v=AA3E07977294236195BD90A1153133F197ADD404" TargetMode="External" Id="rId321"/><Relationship Type="http://schemas.openxmlformats.org/officeDocument/2006/relationships/hyperlink" Target="https://www.adzuna.co.uk/jobs/details/5930275311?utm_medium=api&amp;utm_source=692fc859" TargetMode="External" Id="rId322"/><Relationship Type="http://schemas.openxmlformats.org/officeDocument/2006/relationships/hyperlink" Target="https://uk.linkedin.com/jobs/view/drainage-and-water-design-engineer-at-kier-group-4411883494" TargetMode="External" Id="rId323"/><Relationship Type="http://schemas.openxmlformats.org/officeDocument/2006/relationships/hyperlink" Target="https://www.adzuna.co.uk/jobs/land/ad/5931118995?se=UsptuhvK8RG0yZvJMLFEkQ&amp;utm_medium=api&amp;utm_source=692fc859&amp;v=A6CC63484CD32C61B229DB478F40F4B4E29FF84F" TargetMode="External" Id="rId324"/><Relationship Type="http://schemas.openxmlformats.org/officeDocument/2006/relationships/hyperlink" Target="https://www.adzuna.co.uk/jobs/land/ad/5931112697?se=UsptuhvK8RG0yZvJMLFEkQ&amp;utm_medium=api&amp;utm_source=692fc859&amp;v=161BA04E2D1BFBB89980647EBA8F6EE9614633F7" TargetMode="External" Id="rId325"/><Relationship Type="http://schemas.openxmlformats.org/officeDocument/2006/relationships/hyperlink" Target="https://uk.linkedin.com/jobs/view/wastewater-network-modeller-at-mott-macdonald-4472052510" TargetMode="External" Id="rId326"/><Relationship Type="http://schemas.openxmlformats.org/officeDocument/2006/relationships/hyperlink" Target="https://uk.linkedin.com/jobs/view/expression-of-interest-drainage-and-water-design-at-kier-group-4480272045" TargetMode="External" Id="rId327"/><Relationship Type="http://schemas.openxmlformats.org/officeDocument/2006/relationships/hyperlink" Target="https://uk.linkedin.com/jobs/view/civil-design-engineer-water-infrastructure-projects-at-chg-electrical-4482130463" TargetMode="External" Id="rId328"/><Relationship Type="http://schemas.openxmlformats.org/officeDocument/2006/relationships/hyperlink" Target="https://www.adzuna.co.uk/jobs/land/ad/5938288549?se=Hog6HdvO8RGYk6KA-2zltw&amp;utm_medium=api&amp;utm_source=692fc859&amp;v=0B8861CF9E9D1A32C77D71D5FD4AFB5E6A0F2B8E" TargetMode="External" Id="rId329"/><Relationship Type="http://schemas.openxmlformats.org/officeDocument/2006/relationships/hyperlink" Target="https://uk.linkedin.com/jobs/view/civil-design-engineer-water-infrastructure-projects-at-chg-electrical-4482885482" TargetMode="External" Id="rId330"/><Relationship Type="http://schemas.openxmlformats.org/officeDocument/2006/relationships/hyperlink" Target="https://uk.linkedin.com/jobs/view/civil-design-engineer-water-wastewater-amp8-at-arcadis-4481039738" TargetMode="External" Id="rId331"/><Relationship Type="http://schemas.openxmlformats.org/officeDocument/2006/relationships/hyperlink" Target="https://uk.linkedin.com/jobs/view/major-water-infrastructure-programme-pmo-manager-at-ofwat-4481872695" TargetMode="External" Id="rId3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hidden="1" width="14" customWidth="1" min="1" max="1"/>
    <col width="13" customWidth="1" min="2" max="2"/>
    <col width="32" customWidth="1" min="3" max="3"/>
    <col width="24" customWidth="1" min="4" max="4"/>
    <col width="20" customWidth="1" min="5" max="5"/>
    <col width="20" customWidth="1" min="6" max="6"/>
    <col width="13" customWidth="1" min="7" max="7"/>
    <col width="18" customWidth="1" min="8" max="8"/>
    <col width="7" customWidth="1" min="9" max="9"/>
    <col width="45" customWidth="1" min="10" max="10"/>
    <col width="11" customWidth="1" min="11" max="11"/>
    <col width="14" customWidth="1" min="12" max="12"/>
    <col width="20" customWidth="1" min="13" max="13"/>
    <col width="40" customWidth="1" min="14" max="14"/>
    <col width="30" customWidth="1" min="15" max="15"/>
  </cols>
  <sheetData>
    <row r="1" ht="32" customHeight="1">
      <c r="A1" s="1" t="inlineStr">
        <is>
          <t>Job ID</t>
        </is>
      </c>
      <c r="B1" s="1" t="inlineStr">
        <is>
          <t>Date Sent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Salary</t>
        </is>
      </c>
      <c r="G1" s="1" t="inlineStr">
        <is>
          <t>Source</t>
        </is>
      </c>
      <c r="H1" s="1" t="inlineStr">
        <is>
          <t>Sponsorship</t>
        </is>
      </c>
      <c r="I1" s="1" t="inlineStr">
        <is>
          <t>Score</t>
        </is>
      </c>
      <c r="J1" s="1" t="inlineStr">
        <is>
          <t>Job URL</t>
        </is>
      </c>
      <c r="K1" s="2" t="inlineStr">
        <is>
          <t>Applied?</t>
        </is>
      </c>
      <c r="L1" s="2" t="inlineStr">
        <is>
          <t>Date Applied</t>
        </is>
      </c>
      <c r="M1" s="2" t="inlineStr">
        <is>
          <t>Outcome</t>
        </is>
      </c>
      <c r="N1" s="3" t="inlineStr">
        <is>
          <t>Why No?</t>
        </is>
      </c>
      <c r="O1" s="2" t="inlineStr">
        <is>
          <t>Notes</t>
        </is>
      </c>
    </row>
    <row r="2">
      <c r="A2" s="9" t="inlineStr">
        <is>
          <t>91f378388bbb</t>
        </is>
      </c>
      <c r="B2" s="9" t="inlineStr">
        <is>
          <t>15/02/2026</t>
        </is>
      </c>
      <c r="C2" s="9" t="inlineStr">
        <is>
          <t>Water Engineer/Hydraulic Modeller</t>
        </is>
      </c>
      <c r="D2" s="9" t="inlineStr">
        <is>
          <t>ALDWYCH CONSULTING LTD</t>
        </is>
      </c>
      <c r="E2" s="9" t="inlineStr">
        <is>
          <t>South East London, London</t>
        </is>
      </c>
      <c r="F2" s="9" t="inlineStr">
        <is>
          <t>£45,000 – £45,000</t>
        </is>
      </c>
      <c r="G2" s="9" t="inlineStr">
        <is>
          <t>Adzuna UK</t>
        </is>
      </c>
      <c r="H2" s="10" t="inlineStr">
        <is>
          <t>CONFIRMED</t>
        </is>
      </c>
      <c r="I2" s="9" t="n">
        <v>80</v>
      </c>
      <c r="J2" s="11" t="inlineStr">
        <is>
          <t>Apply Here</t>
        </is>
      </c>
      <c r="K2" s="12" t="inlineStr">
        <is>
          <t>No</t>
        </is>
      </c>
      <c r="L2" s="12" t="n"/>
      <c r="M2" s="12" t="inlineStr">
        <is>
          <t>Pending</t>
        </is>
      </c>
      <c r="N2" s="13" t="inlineStr">
        <is>
          <t>Too senior / overqualified</t>
        </is>
      </c>
      <c r="O2" s="12" t="inlineStr">
        <is>
          <t>5-8 years of experience</t>
        </is>
      </c>
    </row>
    <row r="3">
      <c r="A3" s="14" t="inlineStr">
        <is>
          <t>33d1e821e300</t>
        </is>
      </c>
      <c r="B3" s="14" t="inlineStr">
        <is>
          <t>15/02/2026</t>
        </is>
      </c>
      <c r="C3" s="14" t="inlineStr">
        <is>
          <t>Water Engineer/Hydraulic Modeller</t>
        </is>
      </c>
      <c r="D3" s="14" t="inlineStr">
        <is>
          <t>Aldwych Consulting Ltd</t>
        </is>
      </c>
      <c r="E3" s="14" t="inlineStr">
        <is>
          <t>London, UK</t>
        </is>
      </c>
      <c r="F3" s="14" t="inlineStr">
        <is>
          <t>£40,000 – £48,000</t>
        </is>
      </c>
      <c r="G3" s="14" t="inlineStr">
        <is>
          <t>Adzuna UK</t>
        </is>
      </c>
      <c r="H3" s="10" t="inlineStr">
        <is>
          <t>CONFIRMED</t>
        </is>
      </c>
      <c r="I3" s="14" t="n">
        <v>80</v>
      </c>
      <c r="J3" s="15" t="inlineStr">
        <is>
          <t>Apply Here</t>
        </is>
      </c>
      <c r="K3" s="16" t="inlineStr">
        <is>
          <t>No</t>
        </is>
      </c>
      <c r="L3" s="16" t="n"/>
      <c r="M3" s="16" t="inlineStr">
        <is>
          <t>Pending</t>
        </is>
      </c>
      <c r="N3" s="17" t="inlineStr">
        <is>
          <t>Duplicate / already applied</t>
        </is>
      </c>
      <c r="O3" s="16" t="inlineStr">
        <is>
          <t>Same as the role in previous row</t>
        </is>
      </c>
    </row>
    <row r="4">
      <c r="A4" s="9" t="inlineStr">
        <is>
          <t>12d728954ff6</t>
        </is>
      </c>
      <c r="B4" s="9" t="inlineStr">
        <is>
          <t>15/02/2026</t>
        </is>
      </c>
      <c r="C4" s="9" t="inlineStr">
        <is>
          <t>Water Engineer/Hydraulic Modeller</t>
        </is>
      </c>
      <c r="D4" s="9" t="inlineStr">
        <is>
          <t>Aldwych Consulting</t>
        </is>
      </c>
      <c r="E4" s="9" t="inlineStr">
        <is>
          <t>Farringdon, Central London</t>
        </is>
      </c>
      <c r="F4" s="9" t="inlineStr">
        <is>
          <t>£40,000 – £48,000</t>
        </is>
      </c>
      <c r="G4" s="9" t="inlineStr">
        <is>
          <t>Adzuna UK</t>
        </is>
      </c>
      <c r="H4" s="10" t="inlineStr">
        <is>
          <t>CONFIRMED</t>
        </is>
      </c>
      <c r="I4" s="9" t="n">
        <v>80</v>
      </c>
      <c r="J4" s="11" t="inlineStr">
        <is>
          <t>Apply Here</t>
        </is>
      </c>
      <c r="K4" s="12" t="inlineStr">
        <is>
          <t>No</t>
        </is>
      </c>
      <c r="L4" s="12" t="n"/>
      <c r="M4" s="12" t="inlineStr">
        <is>
          <t>Pending</t>
        </is>
      </c>
      <c r="N4" s="13" t="inlineStr">
        <is>
          <t>Duplicate / already applied</t>
        </is>
      </c>
      <c r="O4" s="16" t="inlineStr">
        <is>
          <t>Same as the role in previous row</t>
        </is>
      </c>
    </row>
    <row r="5">
      <c r="A5" s="14" t="inlineStr">
        <is>
          <t>0034bed26e43</t>
        </is>
      </c>
      <c r="B5" s="14" t="inlineStr">
        <is>
          <t>15/02/2026</t>
        </is>
      </c>
      <c r="C5" s="14" t="inlineStr">
        <is>
          <t>Senior Civil Engineer, Water</t>
        </is>
      </c>
      <c r="D5" s="14" t="inlineStr">
        <is>
          <t>AECOM</t>
        </is>
      </c>
      <c r="E5" s="14" t="inlineStr">
        <is>
          <t>St. Albans, Hertfordshire</t>
        </is>
      </c>
      <c r="F5" s="14" t="inlineStr">
        <is>
          <t>£42,509 – £42,509</t>
        </is>
      </c>
      <c r="G5" s="14" t="inlineStr">
        <is>
          <t>Adzuna UK</t>
        </is>
      </c>
      <c r="H5" s="10" t="inlineStr">
        <is>
          <t>CONFIRMED</t>
        </is>
      </c>
      <c r="I5" s="14" t="n">
        <v>80</v>
      </c>
      <c r="J5" s="15" t="inlineStr">
        <is>
          <t>Apply Here</t>
        </is>
      </c>
      <c r="K5" s="16" t="inlineStr">
        <is>
          <t>No</t>
        </is>
      </c>
      <c r="L5" s="16" t="n"/>
      <c r="M5" s="16" t="inlineStr">
        <is>
          <t>Pending</t>
        </is>
      </c>
      <c r="N5" s="17" t="inlineStr">
        <is>
          <t>Other</t>
        </is>
      </c>
      <c r="O5" s="16" t="inlineStr">
        <is>
          <t>Vacency closed</t>
        </is>
      </c>
    </row>
    <row r="6">
      <c r="A6" s="9" t="inlineStr">
        <is>
          <t>d0e6c96fa336</t>
        </is>
      </c>
      <c r="B6" s="9" t="inlineStr">
        <is>
          <t>15/02/2026</t>
        </is>
      </c>
      <c r="C6" s="9" t="inlineStr">
        <is>
          <t>Senior Civil Engineer, Water</t>
        </is>
      </c>
      <c r="D6" s="9" t="inlineStr">
        <is>
          <t>AECOM</t>
        </is>
      </c>
      <c r="E6" s="9" t="inlineStr">
        <is>
          <t>London, UK</t>
        </is>
      </c>
      <c r="F6" s="9" t="inlineStr">
        <is>
          <t>£43,633 – £43,633</t>
        </is>
      </c>
      <c r="G6" s="9" t="inlineStr">
        <is>
          <t>Adzuna UK</t>
        </is>
      </c>
      <c r="H6" s="10" t="inlineStr">
        <is>
          <t>CONFIRMED</t>
        </is>
      </c>
      <c r="I6" s="9" t="n">
        <v>80</v>
      </c>
      <c r="J6" s="11" t="inlineStr">
        <is>
          <t>Apply Here</t>
        </is>
      </c>
      <c r="K6" s="12" t="n"/>
      <c r="L6" s="12" t="n"/>
      <c r="M6" s="12" t="inlineStr">
        <is>
          <t>Pending</t>
        </is>
      </c>
      <c r="N6" s="13" t="n"/>
      <c r="O6" s="12" t="n"/>
    </row>
    <row r="7">
      <c r="A7" s="14" t="inlineStr">
        <is>
          <t>ee386e08a3ca</t>
        </is>
      </c>
      <c r="B7" s="14" t="inlineStr">
        <is>
          <t>15/02/2026</t>
        </is>
      </c>
      <c r="C7" s="14" t="inlineStr">
        <is>
          <t>Mechanical Design Engineer</t>
        </is>
      </c>
      <c r="D7" s="14" t="inlineStr">
        <is>
          <t>Thames Water</t>
        </is>
      </c>
      <c r="E7" s="14" t="inlineStr">
        <is>
          <t>Caversham, Reading</t>
        </is>
      </c>
      <c r="F7" s="14" t="inlineStr">
        <is>
          <t>£42,640 – £55,000</t>
        </is>
      </c>
      <c r="G7" s="14" t="inlineStr">
        <is>
          <t>Adzuna UK</t>
        </is>
      </c>
      <c r="H7" s="10" t="inlineStr">
        <is>
          <t>CONFIRMED</t>
        </is>
      </c>
      <c r="I7" s="14" t="n">
        <v>75</v>
      </c>
      <c r="J7" s="15" t="inlineStr">
        <is>
          <t>Apply Here</t>
        </is>
      </c>
      <c r="K7" s="16" t="inlineStr">
        <is>
          <t>No</t>
        </is>
      </c>
      <c r="L7" s="16" t="n"/>
      <c r="M7" s="16" t="inlineStr">
        <is>
          <t>Pending</t>
        </is>
      </c>
      <c r="N7" s="17" t="inlineStr">
        <is>
          <t>Other</t>
        </is>
      </c>
      <c r="O7" s="16" t="inlineStr">
        <is>
          <t>Does not sponser for the role</t>
        </is>
      </c>
    </row>
    <row r="8">
      <c r="A8" s="9" t="inlineStr">
        <is>
          <t>d578bc4c768f</t>
        </is>
      </c>
      <c r="B8" s="9" t="inlineStr">
        <is>
          <t>15/02/2026</t>
        </is>
      </c>
      <c r="C8" s="9" t="inlineStr">
        <is>
          <t>Mechanical Design Engineer</t>
        </is>
      </c>
      <c r="D8" s="9" t="inlineStr">
        <is>
          <t>Recruiter</t>
        </is>
      </c>
      <c r="E8" s="9" t="inlineStr">
        <is>
          <t>Reading, Berkshire</t>
        </is>
      </c>
      <c r="F8" s="9" t="inlineStr">
        <is>
          <t>£42,640 – £55,000</t>
        </is>
      </c>
      <c r="G8" s="9" t="inlineStr">
        <is>
          <t>Adzuna UK</t>
        </is>
      </c>
      <c r="H8" s="10" t="inlineStr">
        <is>
          <t>CONFIRMED</t>
        </is>
      </c>
      <c r="I8" s="9" t="n">
        <v>75</v>
      </c>
      <c r="J8" s="11" t="inlineStr">
        <is>
          <t>Apply Here</t>
        </is>
      </c>
      <c r="K8" s="12" t="inlineStr">
        <is>
          <t>No</t>
        </is>
      </c>
      <c r="L8" s="12" t="n"/>
      <c r="M8" s="12" t="inlineStr">
        <is>
          <t>Pending</t>
        </is>
      </c>
      <c r="N8" s="13" t="inlineStr">
        <is>
          <t>Other</t>
        </is>
      </c>
      <c r="O8" s="16" t="inlineStr">
        <is>
          <t>Vacency closed</t>
        </is>
      </c>
    </row>
    <row r="9">
      <c r="A9" s="14" t="inlineStr">
        <is>
          <t>9dc5b325f2eb</t>
        </is>
      </c>
      <c r="B9" s="14" t="inlineStr">
        <is>
          <t>15/02/2026</t>
        </is>
      </c>
      <c r="C9" s="14" t="inlineStr">
        <is>
          <t>Mechanical Design Engineer - Water</t>
        </is>
      </c>
      <c r="D9" s="14" t="inlineStr">
        <is>
          <t>SSA Recruitment</t>
        </is>
      </c>
      <c r="E9" s="14" t="inlineStr">
        <is>
          <t>West Hampstead, North West London</t>
        </is>
      </c>
      <c r="F9" s="14" t="inlineStr">
        <is>
          <t>£55,000 – £65,000</t>
        </is>
      </c>
      <c r="G9" s="14" t="inlineStr">
        <is>
          <t>Adzuna UK</t>
        </is>
      </c>
      <c r="H9" s="10" t="inlineStr">
        <is>
          <t>CONFIRMED</t>
        </is>
      </c>
      <c r="I9" s="14" t="n">
        <v>65</v>
      </c>
      <c r="J9" s="15" t="inlineStr">
        <is>
          <t>Apply Here</t>
        </is>
      </c>
      <c r="K9" s="16" t="n"/>
      <c r="L9" s="16" t="n"/>
      <c r="M9" s="16" t="inlineStr">
        <is>
          <t>Pending</t>
        </is>
      </c>
      <c r="N9" s="17" t="n"/>
      <c r="O9" s="16" t="n"/>
    </row>
    <row r="10">
      <c r="A10" s="9" t="inlineStr">
        <is>
          <t>aabe29c643e4</t>
        </is>
      </c>
      <c r="B10" s="9" t="inlineStr">
        <is>
          <t>15/02/2026</t>
        </is>
      </c>
      <c r="C10" s="9" t="inlineStr">
        <is>
          <t>Senior Water Network Engineer/Modellers</t>
        </is>
      </c>
      <c r="D10" s="9" t="inlineStr">
        <is>
          <t>Jacobs</t>
        </is>
      </c>
      <c r="E10" s="9" t="inlineStr">
        <is>
          <t>Reading, Berkshire</t>
        </is>
      </c>
      <c r="F10" s="9" t="inlineStr">
        <is>
          <t>£50,253 – £50,253</t>
        </is>
      </c>
      <c r="G10" s="9" t="inlineStr">
        <is>
          <t>Adzuna UK</t>
        </is>
      </c>
      <c r="H10" s="10" t="inlineStr">
        <is>
          <t>CONFIRMED</t>
        </is>
      </c>
      <c r="I10" s="9" t="n">
        <v>65</v>
      </c>
      <c r="J10" s="11" t="inlineStr">
        <is>
          <t>Apply Here</t>
        </is>
      </c>
      <c r="K10" s="12" t="n"/>
      <c r="L10" s="12" t="n"/>
      <c r="M10" s="12" t="inlineStr">
        <is>
          <t>Pending</t>
        </is>
      </c>
      <c r="N10" s="13" t="n"/>
      <c r="O10" s="12" t="n"/>
    </row>
    <row r="11">
      <c r="A11" s="14" t="inlineStr">
        <is>
          <t>c87e01af5979</t>
        </is>
      </c>
      <c r="B11" s="14" t="inlineStr">
        <is>
          <t>15/02/2026</t>
        </is>
      </c>
      <c r="C11" s="14" t="inlineStr">
        <is>
          <t>Hydraulics Engineers - UK Wide</t>
        </is>
      </c>
      <c r="D11" s="14" t="inlineStr">
        <is>
          <t>Jacobs</t>
        </is>
      </c>
      <c r="E11" s="14" t="inlineStr">
        <is>
          <t>Reading, Berkshire</t>
        </is>
      </c>
      <c r="F11" s="14" t="inlineStr">
        <is>
          <t>£48,252 – £48,252</t>
        </is>
      </c>
      <c r="G11" s="14" t="inlineStr">
        <is>
          <t>Adzuna UK</t>
        </is>
      </c>
      <c r="H11" s="10" t="inlineStr">
        <is>
          <t>CONFIRMED</t>
        </is>
      </c>
      <c r="I11" s="14" t="n">
        <v>65</v>
      </c>
      <c r="J11" s="15" t="inlineStr">
        <is>
          <t>Apply Here</t>
        </is>
      </c>
      <c r="K11" s="16" t="n"/>
      <c r="L11" s="16" t="n"/>
      <c r="M11" s="16" t="inlineStr">
        <is>
          <t>Pending</t>
        </is>
      </c>
      <c r="N11" s="17" t="n"/>
      <c r="O11" s="16" t="n"/>
    </row>
    <row r="12">
      <c r="A12" s="9" t="inlineStr">
        <is>
          <t>c43e11ff8ca9</t>
        </is>
      </c>
      <c r="B12" s="9" t="inlineStr">
        <is>
          <t>15/02/2026</t>
        </is>
      </c>
      <c r="C12" s="9" t="inlineStr">
        <is>
          <t>Hydraulics Engineers - UK Wide</t>
        </is>
      </c>
      <c r="D12" s="9" t="inlineStr">
        <is>
          <t>Jacobs</t>
        </is>
      </c>
      <c r="E12" s="9" t="inlineStr">
        <is>
          <t>London, UK</t>
        </is>
      </c>
      <c r="F12" s="9" t="inlineStr">
        <is>
          <t>£49,369 – £49,369</t>
        </is>
      </c>
      <c r="G12" s="9" t="inlineStr">
        <is>
          <t>Adzuna UK</t>
        </is>
      </c>
      <c r="H12" s="10" t="inlineStr">
        <is>
          <t>CONFIRMED</t>
        </is>
      </c>
      <c r="I12" s="9" t="n">
        <v>65</v>
      </c>
      <c r="J12" s="11" t="inlineStr">
        <is>
          <t>Apply Here</t>
        </is>
      </c>
      <c r="K12" s="12" t="n"/>
      <c r="L12" s="12" t="n"/>
      <c r="M12" s="12" t="inlineStr">
        <is>
          <t>Pending</t>
        </is>
      </c>
      <c r="N12" s="13" t="n"/>
      <c r="O12" s="12" t="n"/>
    </row>
    <row r="13">
      <c r="A13" s="14" t="inlineStr">
        <is>
          <t>554b6c540a31</t>
        </is>
      </c>
      <c r="B13" s="14" t="inlineStr">
        <is>
          <t>15/02/2026</t>
        </is>
      </c>
      <c r="C13" s="14" t="inlineStr">
        <is>
          <t>Civil Engineer - Water</t>
        </is>
      </c>
      <c r="D13" s="14" t="inlineStr">
        <is>
          <t>Stantec</t>
        </is>
      </c>
      <c r="E13" s="14" t="inlineStr">
        <is>
          <t>High Wycombe, Buckinghamshire</t>
        </is>
      </c>
      <c r="F13" s="14" t="inlineStr">
        <is>
          <t>£50,309 – £50,309</t>
        </is>
      </c>
      <c r="G13" s="14" t="inlineStr">
        <is>
          <t>Adzuna UK</t>
        </is>
      </c>
      <c r="H13" s="10" t="inlineStr">
        <is>
          <t>CONFIRMED</t>
        </is>
      </c>
      <c r="I13" s="14" t="n">
        <v>60</v>
      </c>
      <c r="J13" s="15" t="inlineStr">
        <is>
          <t>Apply Here</t>
        </is>
      </c>
      <c r="K13" s="16" t="inlineStr">
        <is>
          <t>Yes</t>
        </is>
      </c>
      <c r="L13" s="18" t="n">
        <v>46060</v>
      </c>
      <c r="M13" s="16" t="inlineStr">
        <is>
          <t>Rejected</t>
        </is>
      </c>
      <c r="N13" s="17" t="n"/>
      <c r="O13" s="16" t="n"/>
    </row>
    <row r="14">
      <c r="A14" s="9" t="inlineStr">
        <is>
          <t>6b5e6cd83ae0</t>
        </is>
      </c>
      <c r="B14" s="9" t="inlineStr">
        <is>
          <t>15/02/2026</t>
        </is>
      </c>
      <c r="C14" s="9" t="inlineStr">
        <is>
          <t>Civil Engineer - Water</t>
        </is>
      </c>
      <c r="D14" s="9" t="inlineStr">
        <is>
          <t>Stantec</t>
        </is>
      </c>
      <c r="E14" s="9" t="inlineStr">
        <is>
          <t>Reading, Berkshire</t>
        </is>
      </c>
      <c r="F14" s="9" t="inlineStr">
        <is>
          <t>£50,558 – £50,558</t>
        </is>
      </c>
      <c r="G14" s="9" t="inlineStr">
        <is>
          <t>Adzuna UK</t>
        </is>
      </c>
      <c r="H14" s="10" t="inlineStr">
        <is>
          <t>CONFIRMED</t>
        </is>
      </c>
      <c r="I14" s="9" t="n">
        <v>60</v>
      </c>
      <c r="J14" s="11" t="inlineStr">
        <is>
          <t>Apply Here</t>
        </is>
      </c>
      <c r="K14" s="12" t="inlineStr">
        <is>
          <t>No</t>
        </is>
      </c>
      <c r="L14" s="12" t="n"/>
      <c r="M14" s="12" t="inlineStr">
        <is>
          <t>Pending</t>
        </is>
      </c>
      <c r="N14" s="13" t="inlineStr">
        <is>
          <t>Duplicate / already applied</t>
        </is>
      </c>
      <c r="O14" s="16" t="inlineStr">
        <is>
          <t>Same as the role in previous row</t>
        </is>
      </c>
    </row>
    <row r="15">
      <c r="A15" s="14" t="inlineStr">
        <is>
          <t>1cbc31004a24</t>
        </is>
      </c>
      <c r="B15" s="14" t="inlineStr">
        <is>
          <t>15/02/2026</t>
        </is>
      </c>
      <c r="C15" s="14" t="inlineStr">
        <is>
          <t>Civil Engineer - Water</t>
        </is>
      </c>
      <c r="D15" s="14" t="inlineStr">
        <is>
          <t>Stantec UK</t>
        </is>
      </c>
      <c r="E15" s="14" t="inlineStr">
        <is>
          <t>Caversham, Reading</t>
        </is>
      </c>
      <c r="F15" s="14" t="inlineStr">
        <is>
          <t>£44,336 – £44,336</t>
        </is>
      </c>
      <c r="G15" s="14" t="inlineStr">
        <is>
          <t>Adzuna UK</t>
        </is>
      </c>
      <c r="H15" s="10" t="inlineStr">
        <is>
          <t>CONFIRMED</t>
        </is>
      </c>
      <c r="I15" s="14" t="n">
        <v>60</v>
      </c>
      <c r="J15" s="15" t="inlineStr">
        <is>
          <t>Apply Here</t>
        </is>
      </c>
      <c r="K15" s="16" t="inlineStr">
        <is>
          <t>No</t>
        </is>
      </c>
      <c r="L15" s="16" t="n"/>
      <c r="M15" s="16" t="inlineStr">
        <is>
          <t>Pending</t>
        </is>
      </c>
      <c r="N15" s="17" t="inlineStr">
        <is>
          <t>Duplicate / already applied</t>
        </is>
      </c>
      <c r="O15" s="16" t="inlineStr">
        <is>
          <t>Same as the role in previous row</t>
        </is>
      </c>
    </row>
    <row r="16">
      <c r="A16" s="9" t="inlineStr">
        <is>
          <t>42be6efe69a3</t>
        </is>
      </c>
      <c r="B16" s="9" t="inlineStr">
        <is>
          <t>15/02/2026</t>
        </is>
      </c>
      <c r="C16" s="9" t="inlineStr">
        <is>
          <t>Senior Mechanical Engineer - Water</t>
        </is>
      </c>
      <c r="D16" s="9" t="inlineStr">
        <is>
          <t>AECOM</t>
        </is>
      </c>
      <c r="E16" s="9" t="inlineStr">
        <is>
          <t>St. Albans, Hertfordshire</t>
        </is>
      </c>
      <c r="F16" s="9" t="inlineStr">
        <is>
          <t>£46,954 – £46,954</t>
        </is>
      </c>
      <c r="G16" s="9" t="inlineStr">
        <is>
          <t>Adzuna UK</t>
        </is>
      </c>
      <c r="H16" s="10" t="inlineStr">
        <is>
          <t>CONFIRMED</t>
        </is>
      </c>
      <c r="I16" s="9" t="n">
        <v>60</v>
      </c>
      <c r="J16" s="11" t="inlineStr">
        <is>
          <t>Apply Here</t>
        </is>
      </c>
      <c r="K16" s="12" t="n"/>
      <c r="L16" s="12" t="n"/>
      <c r="M16" s="12" t="inlineStr">
        <is>
          <t>Pending</t>
        </is>
      </c>
      <c r="N16" s="13" t="n"/>
      <c r="O16" s="12" t="n"/>
    </row>
    <row r="17">
      <c r="A17" s="14" t="inlineStr">
        <is>
          <t>2a82b73d433a</t>
        </is>
      </c>
      <c r="B17" s="14" t="inlineStr">
        <is>
          <t>15/02/2026</t>
        </is>
      </c>
      <c r="C17" s="14" t="inlineStr">
        <is>
          <t>Senior Mechanical Engineer - Water</t>
        </is>
      </c>
      <c r="D17" s="14" t="inlineStr">
        <is>
          <t>AECOM</t>
        </is>
      </c>
      <c r="E17" s="14" t="inlineStr">
        <is>
          <t>London, UK</t>
        </is>
      </c>
      <c r="F17" s="14" t="inlineStr">
        <is>
          <t>£47,744 – £47,744</t>
        </is>
      </c>
      <c r="G17" s="14" t="inlineStr">
        <is>
          <t>Adzuna UK</t>
        </is>
      </c>
      <c r="H17" s="10" t="inlineStr">
        <is>
          <t>CONFIRMED</t>
        </is>
      </c>
      <c r="I17" s="14" t="n">
        <v>60</v>
      </c>
      <c r="J17" s="15" t="inlineStr">
        <is>
          <t>Apply Here</t>
        </is>
      </c>
      <c r="K17" s="16" t="n"/>
      <c r="L17" s="16" t="n"/>
      <c r="M17" s="16" t="inlineStr">
        <is>
          <t>Pending</t>
        </is>
      </c>
      <c r="N17" s="17" t="n"/>
      <c r="O17" s="16" t="n"/>
    </row>
    <row r="18">
      <c r="A18" s="9" t="inlineStr">
        <is>
          <t>dfe15f60b7a2</t>
        </is>
      </c>
      <c r="B18" s="9" t="inlineStr">
        <is>
          <t>15/02/2026</t>
        </is>
      </c>
      <c r="C18" s="9" t="inlineStr">
        <is>
          <t>Senior Mechanical Engineer - Water</t>
        </is>
      </c>
      <c r="D18" s="9" t="inlineStr">
        <is>
          <t>AECOM</t>
        </is>
      </c>
      <c r="E18" s="9" t="inlineStr">
        <is>
          <t>Croydon, London</t>
        </is>
      </c>
      <c r="F18" s="9" t="inlineStr">
        <is>
          <t>£46,355 – £46,355</t>
        </is>
      </c>
      <c r="G18" s="9" t="inlineStr">
        <is>
          <t>Adzuna UK</t>
        </is>
      </c>
      <c r="H18" s="10" t="inlineStr">
        <is>
          <t>CONFIRMED</t>
        </is>
      </c>
      <c r="I18" s="9" t="n">
        <v>60</v>
      </c>
      <c r="J18" s="11" t="inlineStr">
        <is>
          <t>Apply Here</t>
        </is>
      </c>
      <c r="K18" s="12" t="n"/>
      <c r="L18" s="12" t="n"/>
      <c r="M18" s="12" t="inlineStr">
        <is>
          <t>Pending</t>
        </is>
      </c>
      <c r="N18" s="13" t="n"/>
      <c r="O18" s="12" t="n"/>
    </row>
    <row r="19">
      <c r="A19" s="14" t="inlineStr">
        <is>
          <t>b296d50b7dce</t>
        </is>
      </c>
      <c r="B19" s="14" t="inlineStr">
        <is>
          <t>15/02/2026</t>
        </is>
      </c>
      <c r="C19" s="14" t="inlineStr">
        <is>
          <t>Quantity Surveyors THAMES</t>
        </is>
      </c>
      <c r="D19" s="14" t="inlineStr">
        <is>
          <t>Matchtech</t>
        </is>
      </c>
      <c r="E19" s="14" t="inlineStr">
        <is>
          <t>Farringdon, Central London</t>
        </is>
      </c>
      <c r="F19" s="14" t="inlineStr">
        <is>
          <t>£45,000 – £75,000</t>
        </is>
      </c>
      <c r="G19" s="14" t="inlineStr">
        <is>
          <t>Adzuna UK</t>
        </is>
      </c>
      <c r="H19" s="10" t="inlineStr">
        <is>
          <t>CONFIRMED</t>
        </is>
      </c>
      <c r="I19" s="14" t="n">
        <v>60</v>
      </c>
      <c r="J19" s="15" t="inlineStr">
        <is>
          <t>Apply Here</t>
        </is>
      </c>
      <c r="K19" s="16" t="inlineStr">
        <is>
          <t>No</t>
        </is>
      </c>
      <c r="L19" s="16" t="n"/>
      <c r="M19" s="16" t="inlineStr">
        <is>
          <t>Pending</t>
        </is>
      </c>
      <c r="N19" s="17" t="inlineStr">
        <is>
          <t>Missing required licence/cert</t>
        </is>
      </c>
      <c r="O19" s="16" t="inlineStr">
        <is>
          <t xml:space="preserve">Requir Quantity Surveying degree and experince </t>
        </is>
      </c>
    </row>
    <row r="20">
      <c r="A20" s="9" t="inlineStr">
        <is>
          <t>795cc27c4699</t>
        </is>
      </c>
      <c r="B20" s="9" t="inlineStr">
        <is>
          <t>15/02/2026</t>
        </is>
      </c>
      <c r="C20" s="9" t="inlineStr">
        <is>
          <t>Electrical Engineer</t>
        </is>
      </c>
      <c r="D20" s="9" t="inlineStr">
        <is>
          <t>Mott MacDonald</t>
        </is>
      </c>
      <c r="E20" s="9" t="inlineStr">
        <is>
          <t>Reading, Berkshire</t>
        </is>
      </c>
      <c r="F20" s="9" t="inlineStr">
        <is>
          <t>£51,358 – £51,358</t>
        </is>
      </c>
      <c r="G20" s="9" t="inlineStr">
        <is>
          <t>Adzuna UK</t>
        </is>
      </c>
      <c r="H20" s="10" t="inlineStr">
        <is>
          <t>CONFIRMED</t>
        </is>
      </c>
      <c r="I20" s="9" t="n">
        <v>55</v>
      </c>
      <c r="J20" s="11" t="inlineStr">
        <is>
          <t>Apply Here</t>
        </is>
      </c>
      <c r="K20" s="12" t="n"/>
      <c r="L20" s="12" t="n"/>
      <c r="M20" s="12" t="inlineStr">
        <is>
          <t>Pending</t>
        </is>
      </c>
      <c r="N20" s="13" t="n"/>
      <c r="O20" s="12" t="n"/>
    </row>
    <row r="21">
      <c r="A21" s="14" t="inlineStr">
        <is>
          <t>ec0341cc70f7</t>
        </is>
      </c>
      <c r="B21" s="14" t="inlineStr">
        <is>
          <t>15/02/2026</t>
        </is>
      </c>
      <c r="C21" s="14" t="inlineStr">
        <is>
          <t>Drainage Design Engineer</t>
        </is>
      </c>
      <c r="D21" s="14" t="inlineStr">
        <is>
          <t>Pave Recruit</t>
        </is>
      </c>
      <c r="E21" s="14" t="inlineStr">
        <is>
          <t>Richmond, West London</t>
        </is>
      </c>
      <c r="F21" s="14" t="inlineStr">
        <is>
          <t>£38,000 – £44,000</t>
        </is>
      </c>
      <c r="G21" s="14" t="inlineStr">
        <is>
          <t>Adzuna UK</t>
        </is>
      </c>
      <c r="H21" s="10" t="inlineStr">
        <is>
          <t>CONFIRMED</t>
        </is>
      </c>
      <c r="I21" s="14" t="n">
        <v>55</v>
      </c>
      <c r="J21" s="15" t="inlineStr">
        <is>
          <t>Apply Here</t>
        </is>
      </c>
      <c r="K21" s="16" t="n"/>
      <c r="L21" s="16" t="n"/>
      <c r="M21" s="16" t="inlineStr">
        <is>
          <t>Pending</t>
        </is>
      </c>
      <c r="N21" s="17" t="n"/>
      <c r="O21" s="16" t="n"/>
    </row>
    <row r="22">
      <c r="A22" s="19" t="inlineStr">
        <is>
          <t>83045d4d7991</t>
        </is>
      </c>
      <c r="B22" s="19" t="inlineStr">
        <is>
          <t>15/02/2026</t>
        </is>
      </c>
      <c r="C22" s="19" t="inlineStr">
        <is>
          <t>Senior Drainage Engineer</t>
        </is>
      </c>
      <c r="D22" s="19" t="inlineStr">
        <is>
          <t>Pertemps</t>
        </is>
      </c>
      <c r="E22" s="19" t="inlineStr">
        <is>
          <t>Bankside, South East London</t>
        </is>
      </c>
      <c r="F22" s="19" t="inlineStr">
        <is>
          <t>£40,000 – £55,000</t>
        </is>
      </c>
      <c r="G22" s="19" t="inlineStr">
        <is>
          <t>Adzuna UK</t>
        </is>
      </c>
      <c r="H22" s="20" t="inlineStr">
        <is>
          <t>CONFIRMED</t>
        </is>
      </c>
      <c r="I22" s="19" t="n">
        <v>75</v>
      </c>
      <c r="J22" s="21" t="inlineStr">
        <is>
          <t>Apply Here</t>
        </is>
      </c>
      <c r="K22" s="22" t="n"/>
      <c r="L22" s="22" t="n"/>
      <c r="M22" s="22" t="inlineStr">
        <is>
          <t>Pending</t>
        </is>
      </c>
      <c r="N22" s="23" t="n"/>
      <c r="O22" s="22" t="n"/>
    </row>
    <row r="23">
      <c r="A23" s="24" t="inlineStr">
        <is>
          <t>1259572c2f51</t>
        </is>
      </c>
      <c r="B23" s="24" t="inlineStr">
        <is>
          <t>15/02/2026</t>
        </is>
      </c>
      <c r="C23" s="24" t="inlineStr">
        <is>
          <t>Drainage Engineer</t>
        </is>
      </c>
      <c r="D23" s="24" t="inlineStr">
        <is>
          <t>CHARTWELL</t>
        </is>
      </c>
      <c r="E23" s="24" t="inlineStr">
        <is>
          <t>Chatham, Kent</t>
        </is>
      </c>
      <c r="F23" s="24" t="inlineStr">
        <is>
          <t>£45,000 – £45,000</t>
        </is>
      </c>
      <c r="G23" s="24" t="inlineStr">
        <is>
          <t>Adzuna UK</t>
        </is>
      </c>
      <c r="H23" s="20" t="inlineStr">
        <is>
          <t>CONFIRMED</t>
        </is>
      </c>
      <c r="I23" s="24" t="n">
        <v>70</v>
      </c>
      <c r="J23" s="25" t="inlineStr">
        <is>
          <t>Apply Here</t>
        </is>
      </c>
      <c r="K23" s="26" t="n"/>
      <c r="L23" s="26" t="n"/>
      <c r="M23" s="26" t="inlineStr">
        <is>
          <t>Pending</t>
        </is>
      </c>
      <c r="N23" s="27" t="n"/>
      <c r="O23" s="26" t="n"/>
    </row>
    <row r="24">
      <c r="A24" s="19" t="inlineStr">
        <is>
          <t>76f10131f861</t>
        </is>
      </c>
      <c r="B24" s="19" t="inlineStr">
        <is>
          <t>15/02/2026</t>
        </is>
      </c>
      <c r="C24" s="19" t="inlineStr">
        <is>
          <t>Drainage Engineer</t>
        </is>
      </c>
      <c r="D24" s="19" t="inlineStr">
        <is>
          <t>Vector Recruitment Solutions</t>
        </is>
      </c>
      <c r="E24" s="19" t="inlineStr">
        <is>
          <t>Farnborough, Hampshire</t>
        </is>
      </c>
      <c r="F24" s="19" t="inlineStr">
        <is>
          <t>£30,000 – £44,000</t>
        </is>
      </c>
      <c r="G24" s="19" t="inlineStr">
        <is>
          <t>Adzuna UK</t>
        </is>
      </c>
      <c r="H24" s="20" t="inlineStr">
        <is>
          <t>CONFIRMED</t>
        </is>
      </c>
      <c r="I24" s="19" t="n">
        <v>70</v>
      </c>
      <c r="J24" s="21" t="inlineStr">
        <is>
          <t>Apply Here</t>
        </is>
      </c>
      <c r="K24" s="22" t="n"/>
      <c r="L24" s="22" t="n"/>
      <c r="M24" s="22" t="inlineStr">
        <is>
          <t>Pending</t>
        </is>
      </c>
      <c r="N24" s="23" t="n"/>
      <c r="O24" s="22" t="n"/>
    </row>
    <row r="25">
      <c r="A25" s="24" t="inlineStr">
        <is>
          <t>05c61870a995</t>
        </is>
      </c>
      <c r="B25" s="24" t="inlineStr">
        <is>
          <t>15/02/2026</t>
        </is>
      </c>
      <c r="C25" s="24" t="inlineStr">
        <is>
          <t>Drainage Engineer</t>
        </is>
      </c>
      <c r="D25" s="24" t="inlineStr">
        <is>
          <t>Additional Resources Ltd</t>
        </is>
      </c>
      <c r="E25" s="24" t="inlineStr">
        <is>
          <t>Caversham, Reading</t>
        </is>
      </c>
      <c r="F25" s="24" t="inlineStr">
        <is>
          <t>£31,000 – £48,000</t>
        </is>
      </c>
      <c r="G25" s="24" t="inlineStr">
        <is>
          <t>Adzuna UK</t>
        </is>
      </c>
      <c r="H25" s="20" t="inlineStr">
        <is>
          <t>CONFIRMED</t>
        </is>
      </c>
      <c r="I25" s="24" t="n">
        <v>70</v>
      </c>
      <c r="J25" s="25" t="inlineStr">
        <is>
          <t>Apply Here</t>
        </is>
      </c>
      <c r="K25" s="26" t="n"/>
      <c r="L25" s="26" t="n"/>
      <c r="M25" s="26" t="inlineStr">
        <is>
          <t>Pending</t>
        </is>
      </c>
      <c r="N25" s="27" t="n"/>
      <c r="O25" s="26" t="n"/>
    </row>
    <row r="26">
      <c r="A26" s="19" t="inlineStr">
        <is>
          <t>4de218f7aabd</t>
        </is>
      </c>
      <c r="B26" s="19" t="inlineStr">
        <is>
          <t>15/02/2026</t>
        </is>
      </c>
      <c r="C26" s="19" t="inlineStr">
        <is>
          <t>Drainage Engineer - Pub Refurbishment Contract</t>
        </is>
      </c>
      <c r="D26" s="19" t="inlineStr">
        <is>
          <t>ARC  Ltd</t>
        </is>
      </c>
      <c r="E26" s="19" t="inlineStr">
        <is>
          <t>Hyde Park, West London</t>
        </is>
      </c>
      <c r="F26" s="19" t="inlineStr">
        <is>
          <t>£41,600 – £52,000</t>
        </is>
      </c>
      <c r="G26" s="19" t="inlineStr">
        <is>
          <t>Adzuna UK</t>
        </is>
      </c>
      <c r="H26" s="20" t="inlineStr">
        <is>
          <t>CONFIRMED</t>
        </is>
      </c>
      <c r="I26" s="19" t="n">
        <v>70</v>
      </c>
      <c r="J26" s="21" t="inlineStr">
        <is>
          <t>Apply Here</t>
        </is>
      </c>
      <c r="K26" s="22" t="n"/>
      <c r="L26" s="22" t="n"/>
      <c r="M26" s="22" t="inlineStr">
        <is>
          <t>Pending</t>
        </is>
      </c>
      <c r="N26" s="23" t="n"/>
      <c r="O26" s="22" t="n"/>
    </row>
    <row r="27">
      <c r="A27" s="24" t="inlineStr">
        <is>
          <t>651e5a77e1d5</t>
        </is>
      </c>
      <c r="B27" s="24" t="inlineStr">
        <is>
          <t>15/02/2026</t>
        </is>
      </c>
      <c r="C27" s="24" t="inlineStr">
        <is>
          <t>Drainage Engineer</t>
        </is>
      </c>
      <c r="D27" s="24" t="inlineStr">
        <is>
          <t>Reed</t>
        </is>
      </c>
      <c r="E27" s="24" t="inlineStr">
        <is>
          <t>London, UK</t>
        </is>
      </c>
      <c r="F27" s="24" t="inlineStr">
        <is>
          <t>£40,000 – £50,000</t>
        </is>
      </c>
      <c r="G27" s="24" t="inlineStr">
        <is>
          <t>Adzuna UK</t>
        </is>
      </c>
      <c r="H27" s="20" t="inlineStr">
        <is>
          <t>CONFIRMED</t>
        </is>
      </c>
      <c r="I27" s="24" t="n">
        <v>70</v>
      </c>
      <c r="J27" s="25" t="inlineStr">
        <is>
          <t>Apply Here</t>
        </is>
      </c>
      <c r="K27" s="26" t="n"/>
      <c r="L27" s="26" t="n"/>
      <c r="M27" s="26" t="inlineStr">
        <is>
          <t>Pending</t>
        </is>
      </c>
      <c r="N27" s="27" t="n"/>
      <c r="O27" s="26" t="n"/>
    </row>
    <row r="28">
      <c r="A28" s="19" t="inlineStr">
        <is>
          <t>ba0ea64a6b8f</t>
        </is>
      </c>
      <c r="B28" s="19" t="inlineStr">
        <is>
          <t>15/02/2026</t>
        </is>
      </c>
      <c r="C28" s="19" t="inlineStr">
        <is>
          <t>Drainage Engineer</t>
        </is>
      </c>
      <c r="D28" s="19" t="inlineStr">
        <is>
          <t>Vector Recruitment</t>
        </is>
      </c>
      <c r="E28" s="19" t="inlineStr">
        <is>
          <t>Guildford, Surrey</t>
        </is>
      </c>
      <c r="F28" s="19" t="inlineStr">
        <is>
          <t>£30,000 – £44,000</t>
        </is>
      </c>
      <c r="G28" s="19" t="inlineStr">
        <is>
          <t>Adzuna UK</t>
        </is>
      </c>
      <c r="H28" s="20" t="inlineStr">
        <is>
          <t>CONFIRMED</t>
        </is>
      </c>
      <c r="I28" s="19" t="n">
        <v>70</v>
      </c>
      <c r="J28" s="21" t="inlineStr">
        <is>
          <t>Apply Here</t>
        </is>
      </c>
      <c r="K28" s="22" t="n"/>
      <c r="L28" s="22" t="n"/>
      <c r="M28" s="22" t="inlineStr">
        <is>
          <t>Pending</t>
        </is>
      </c>
      <c r="N28" s="23" t="n"/>
      <c r="O28" s="22" t="n"/>
    </row>
    <row r="29">
      <c r="A29" s="24" t="inlineStr">
        <is>
          <t>2ac04426a028</t>
        </is>
      </c>
      <c r="B29" s="24" t="inlineStr">
        <is>
          <t>15/02/2026</t>
        </is>
      </c>
      <c r="C29" s="24" t="inlineStr">
        <is>
          <t>Civil Infrastructure Engineer</t>
        </is>
      </c>
      <c r="D29" s="24" t="inlineStr">
        <is>
          <t>Zodiac Recruitment</t>
        </is>
      </c>
      <c r="E29" s="24" t="inlineStr">
        <is>
          <t>Stone Cross, Crowborough</t>
        </is>
      </c>
      <c r="F29" s="24" t="inlineStr">
        <is>
          <t>£32,000 – £44,000</t>
        </is>
      </c>
      <c r="G29" s="24" t="inlineStr">
        <is>
          <t>Adzuna UK</t>
        </is>
      </c>
      <c r="H29" s="20" t="inlineStr">
        <is>
          <t>CONFIRMED</t>
        </is>
      </c>
      <c r="I29" s="24" t="n">
        <v>70</v>
      </c>
      <c r="J29" s="25" t="inlineStr">
        <is>
          <t>Apply Here</t>
        </is>
      </c>
      <c r="K29" s="26" t="n"/>
      <c r="L29" s="26" t="n"/>
      <c r="M29" s="26" t="inlineStr">
        <is>
          <t>Pending</t>
        </is>
      </c>
      <c r="N29" s="27" t="n"/>
      <c r="O29" s="26" t="n"/>
    </row>
    <row r="30">
      <c r="A30" s="19" t="inlineStr">
        <is>
          <t>841d2985b4fd</t>
        </is>
      </c>
      <c r="B30" s="19" t="inlineStr">
        <is>
          <t>15/02/2026</t>
        </is>
      </c>
      <c r="C30" s="19" t="inlineStr">
        <is>
          <t>Technician/drainage engineer</t>
        </is>
      </c>
      <c r="D30" s="19" t="inlineStr">
        <is>
          <t>Barnet Council</t>
        </is>
      </c>
      <c r="E30" s="19" t="inlineStr">
        <is>
          <t>Friern Barnet, North London</t>
        </is>
      </c>
      <c r="F30" s="19" t="inlineStr">
        <is>
          <t>£39,276 – £42,771</t>
        </is>
      </c>
      <c r="G30" s="19" t="inlineStr">
        <is>
          <t>Adzuna UK</t>
        </is>
      </c>
      <c r="H30" s="20" t="inlineStr">
        <is>
          <t>CONFIRMED</t>
        </is>
      </c>
      <c r="I30" s="19" t="n">
        <v>70</v>
      </c>
      <c r="J30" s="21" t="inlineStr">
        <is>
          <t>Apply Here</t>
        </is>
      </c>
      <c r="K30" s="22" t="n"/>
      <c r="L30" s="22" t="n"/>
      <c r="M30" s="22" t="inlineStr">
        <is>
          <t>Pending</t>
        </is>
      </c>
      <c r="N30" s="23" t="n"/>
      <c r="O30" s="22" t="n"/>
    </row>
    <row r="31">
      <c r="A31" s="24" t="inlineStr">
        <is>
          <t>1a577b93606b</t>
        </is>
      </c>
      <c r="B31" s="24" t="inlineStr">
        <is>
          <t>15/02/2026</t>
        </is>
      </c>
      <c r="C31" s="24" t="inlineStr">
        <is>
          <t>Drainage Engineer</t>
        </is>
      </c>
      <c r="D31" s="24" t="inlineStr">
        <is>
          <t>Ernest Gordon Recruitment</t>
        </is>
      </c>
      <c r="E31" s="24" t="inlineStr">
        <is>
          <t>South Croydon, South East London</t>
        </is>
      </c>
      <c r="F31" s="24" t="inlineStr">
        <is>
          <t>£45,000 – £45,000</t>
        </is>
      </c>
      <c r="G31" s="24" t="inlineStr">
        <is>
          <t>Adzuna UK</t>
        </is>
      </c>
      <c r="H31" s="20" t="inlineStr">
        <is>
          <t>CONFIRMED</t>
        </is>
      </c>
      <c r="I31" s="24" t="n">
        <v>70</v>
      </c>
      <c r="J31" s="25" t="inlineStr">
        <is>
          <t>Apply Here</t>
        </is>
      </c>
      <c r="K31" s="26" t="n"/>
      <c r="L31" s="26" t="n"/>
      <c r="M31" s="26" t="inlineStr">
        <is>
          <t>Pending</t>
        </is>
      </c>
      <c r="N31" s="27" t="n"/>
      <c r="O31" s="26" t="n"/>
    </row>
    <row r="32">
      <c r="A32" s="19" t="inlineStr">
        <is>
          <t>b8ae75512742</t>
        </is>
      </c>
      <c r="B32" s="19" t="inlineStr">
        <is>
          <t>15/02/2026</t>
        </is>
      </c>
      <c r="C32" s="19" t="inlineStr">
        <is>
          <t>Drainage Engineer</t>
        </is>
      </c>
      <c r="D32" s="19" t="inlineStr">
        <is>
          <t>Ernest Gordon Recruitment Limited</t>
        </is>
      </c>
      <c r="E32" s="19" t="inlineStr">
        <is>
          <t>Croydon, London</t>
        </is>
      </c>
      <c r="F32" s="19" t="inlineStr">
        <is>
          <t>£35,000 – £45,000</t>
        </is>
      </c>
      <c r="G32" s="19" t="inlineStr">
        <is>
          <t>Adzuna UK</t>
        </is>
      </c>
      <c r="H32" s="20" t="inlineStr">
        <is>
          <t>CONFIRMED</t>
        </is>
      </c>
      <c r="I32" s="19" t="n">
        <v>70</v>
      </c>
      <c r="J32" s="21" t="inlineStr">
        <is>
          <t>Apply Here</t>
        </is>
      </c>
      <c r="K32" s="22" t="n"/>
      <c r="L32" s="22" t="n"/>
      <c r="M32" s="22" t="inlineStr">
        <is>
          <t>Pending</t>
        </is>
      </c>
      <c r="N32" s="23" t="n"/>
      <c r="O32" s="22" t="n"/>
    </row>
    <row r="33">
      <c r="A33" s="24" t="inlineStr">
        <is>
          <t>cf8db4a8ecb7</t>
        </is>
      </c>
      <c r="B33" s="24" t="inlineStr">
        <is>
          <t>15/02/2026</t>
        </is>
      </c>
      <c r="C33" s="24" t="inlineStr">
        <is>
          <t>Drainage Engineer</t>
        </is>
      </c>
      <c r="D33" s="24" t="inlineStr">
        <is>
          <t>Ernest Gordon Recruitment Limited</t>
        </is>
      </c>
      <c r="E33" s="24" t="inlineStr">
        <is>
          <t>South Croydon, South East London</t>
        </is>
      </c>
      <c r="F33" s="24" t="inlineStr">
        <is>
          <t>£35,000 – £45,000</t>
        </is>
      </c>
      <c r="G33" s="24" t="inlineStr">
        <is>
          <t>Adzuna UK</t>
        </is>
      </c>
      <c r="H33" s="20" t="inlineStr">
        <is>
          <t>CONFIRMED</t>
        </is>
      </c>
      <c r="I33" s="24" t="n">
        <v>70</v>
      </c>
      <c r="J33" s="25" t="inlineStr">
        <is>
          <t>Apply Here</t>
        </is>
      </c>
      <c r="K33" s="26" t="n"/>
      <c r="L33" s="26" t="n"/>
      <c r="M33" s="26" t="inlineStr">
        <is>
          <t>Pending</t>
        </is>
      </c>
      <c r="N33" s="27" t="n"/>
      <c r="O33" s="26" t="n"/>
    </row>
    <row r="34">
      <c r="A34" s="19" t="inlineStr">
        <is>
          <t>c579f6c01e71</t>
        </is>
      </c>
      <c r="B34" s="19" t="inlineStr">
        <is>
          <t>15/02/2026</t>
        </is>
      </c>
      <c r="C34" s="19" t="inlineStr">
        <is>
          <t>Drainage Engineer</t>
        </is>
      </c>
      <c r="D34" s="19" t="inlineStr">
        <is>
          <t>Ernest Gordon Recruitment Limited</t>
        </is>
      </c>
      <c r="E34" s="19" t="inlineStr">
        <is>
          <t>Croydon, London</t>
        </is>
      </c>
      <c r="F34" s="19" t="inlineStr">
        <is>
          <t>£35,000 – £45,000</t>
        </is>
      </c>
      <c r="G34" s="19" t="inlineStr">
        <is>
          <t>Adzuna UK</t>
        </is>
      </c>
      <c r="H34" s="20" t="inlineStr">
        <is>
          <t>CONFIRMED</t>
        </is>
      </c>
      <c r="I34" s="19" t="n">
        <v>70</v>
      </c>
      <c r="J34" s="21" t="inlineStr">
        <is>
          <t>Apply Here</t>
        </is>
      </c>
      <c r="K34" s="22" t="n"/>
      <c r="L34" s="22" t="n"/>
      <c r="M34" s="22" t="inlineStr">
        <is>
          <t>Pending</t>
        </is>
      </c>
      <c r="N34" s="23" t="n"/>
      <c r="O34" s="22" t="n"/>
    </row>
    <row r="35">
      <c r="A35" s="24" t="inlineStr">
        <is>
          <t>556dd53be35c</t>
        </is>
      </c>
      <c r="B35" s="24" t="inlineStr">
        <is>
          <t>15/02/2026</t>
        </is>
      </c>
      <c r="C35" s="24" t="inlineStr">
        <is>
          <t>Mechanical Design Engineer - Water</t>
        </is>
      </c>
      <c r="D35" s="24" t="inlineStr">
        <is>
          <t>SSA Recruitment</t>
        </is>
      </c>
      <c r="E35" s="24" t="inlineStr">
        <is>
          <t>West Hampstead, North West London</t>
        </is>
      </c>
      <c r="F35" s="24" t="inlineStr">
        <is>
          <t>£55,000 – £65,000</t>
        </is>
      </c>
      <c r="G35" s="24" t="inlineStr">
        <is>
          <t>Adzuna UK</t>
        </is>
      </c>
      <c r="H35" s="20" t="inlineStr">
        <is>
          <t>CONFIRMED</t>
        </is>
      </c>
      <c r="I35" s="24" t="n">
        <v>65</v>
      </c>
      <c r="J35" s="25" t="inlineStr">
        <is>
          <t>Apply Here</t>
        </is>
      </c>
      <c r="K35" s="26" t="n"/>
      <c r="L35" s="26" t="n"/>
      <c r="M35" s="26" t="inlineStr">
        <is>
          <t>Pending</t>
        </is>
      </c>
      <c r="N35" s="27" t="n"/>
      <c r="O35" s="26" t="n"/>
    </row>
    <row r="36">
      <c r="A36" s="19" t="inlineStr">
        <is>
          <t>29d4744a926f</t>
        </is>
      </c>
      <c r="B36" s="19" t="inlineStr">
        <is>
          <t>15/02/2026</t>
        </is>
      </c>
      <c r="C36" s="19" t="inlineStr">
        <is>
          <t>Senior Water Network Engineer/Modellers</t>
        </is>
      </c>
      <c r="D36" s="19" t="inlineStr">
        <is>
          <t>Jacobs</t>
        </is>
      </c>
      <c r="E36" s="19" t="inlineStr">
        <is>
          <t>Reading, Berkshire</t>
        </is>
      </c>
      <c r="F36" s="19" t="inlineStr">
        <is>
          <t>£50,253 – £50,253</t>
        </is>
      </c>
      <c r="G36" s="19" t="inlineStr">
        <is>
          <t>Adzuna UK</t>
        </is>
      </c>
      <c r="H36" s="20" t="inlineStr">
        <is>
          <t>CONFIRMED</t>
        </is>
      </c>
      <c r="I36" s="19" t="n">
        <v>65</v>
      </c>
      <c r="J36" s="21" t="inlineStr">
        <is>
          <t>Apply Here</t>
        </is>
      </c>
      <c r="K36" s="22" t="n"/>
      <c r="L36" s="22" t="n"/>
      <c r="M36" s="22" t="inlineStr">
        <is>
          <t>Pending</t>
        </is>
      </c>
      <c r="N36" s="23" t="n"/>
      <c r="O36" s="22" t="n"/>
    </row>
    <row r="37">
      <c r="A37" s="24" t="inlineStr">
        <is>
          <t>085472100acd</t>
        </is>
      </c>
      <c r="B37" s="24" t="inlineStr">
        <is>
          <t>15/02/2026</t>
        </is>
      </c>
      <c r="C37" s="24" t="inlineStr">
        <is>
          <t>Hydraulics Engineers - UK Wide</t>
        </is>
      </c>
      <c r="D37" s="24" t="inlineStr">
        <is>
          <t>Jacobs</t>
        </is>
      </c>
      <c r="E37" s="24" t="inlineStr">
        <is>
          <t>Reading, Berkshire</t>
        </is>
      </c>
      <c r="F37" s="24" t="inlineStr">
        <is>
          <t>£48,252 – £48,252</t>
        </is>
      </c>
      <c r="G37" s="24" t="inlineStr">
        <is>
          <t>Adzuna UK</t>
        </is>
      </c>
      <c r="H37" s="20" t="inlineStr">
        <is>
          <t>CONFIRMED</t>
        </is>
      </c>
      <c r="I37" s="24" t="n">
        <v>65</v>
      </c>
      <c r="J37" s="25" t="inlineStr">
        <is>
          <t>Apply Here</t>
        </is>
      </c>
      <c r="K37" s="26" t="n"/>
      <c r="L37" s="26" t="n"/>
      <c r="M37" s="26" t="inlineStr">
        <is>
          <t>Pending</t>
        </is>
      </c>
      <c r="N37" s="27" t="n"/>
      <c r="O37" s="26" t="n"/>
    </row>
    <row r="38">
      <c r="A38" s="19" t="inlineStr">
        <is>
          <t>7fc3b4655872</t>
        </is>
      </c>
      <c r="B38" s="19" t="inlineStr">
        <is>
          <t>15/02/2026</t>
        </is>
      </c>
      <c r="C38" s="19" t="inlineStr">
        <is>
          <t>Hydraulics Engineers - UK Wide</t>
        </is>
      </c>
      <c r="D38" s="19" t="inlineStr">
        <is>
          <t>Jacobs</t>
        </is>
      </c>
      <c r="E38" s="19" t="inlineStr">
        <is>
          <t>London, UK</t>
        </is>
      </c>
      <c r="F38" s="19" t="inlineStr">
        <is>
          <t>£49,369 – £49,369</t>
        </is>
      </c>
      <c r="G38" s="19" t="inlineStr">
        <is>
          <t>Adzuna UK</t>
        </is>
      </c>
      <c r="H38" s="20" t="inlineStr">
        <is>
          <t>CONFIRMED</t>
        </is>
      </c>
      <c r="I38" s="19" t="n">
        <v>65</v>
      </c>
      <c r="J38" s="21" t="inlineStr">
        <is>
          <t>Apply Here</t>
        </is>
      </c>
      <c r="K38" s="22" t="n"/>
      <c r="L38" s="22" t="n"/>
      <c r="M38" s="22" t="inlineStr">
        <is>
          <t>Pending</t>
        </is>
      </c>
      <c r="N38" s="23" t="n"/>
      <c r="O38" s="22" t="n"/>
    </row>
    <row r="39">
      <c r="A39" s="24" t="inlineStr">
        <is>
          <t>5a9a54ed5120</t>
        </is>
      </c>
      <c r="B39" s="24" t="inlineStr">
        <is>
          <t>15/02/2026</t>
        </is>
      </c>
      <c r="C39" s="24" t="inlineStr">
        <is>
          <t>Senior Civil Engineer</t>
        </is>
      </c>
      <c r="D39" s="24" t="inlineStr">
        <is>
          <t>Penguin Recruitment</t>
        </is>
      </c>
      <c r="E39" s="24" t="inlineStr">
        <is>
          <t>Denner Hill, Great Missenden</t>
        </is>
      </c>
      <c r="F39" s="24" t="inlineStr">
        <is>
          <t>£38,000 – £60,000</t>
        </is>
      </c>
      <c r="G39" s="24" t="inlineStr">
        <is>
          <t>Adzuna UK</t>
        </is>
      </c>
      <c r="H39" s="20" t="inlineStr">
        <is>
          <t>CONFIRMED</t>
        </is>
      </c>
      <c r="I39" s="24" t="n">
        <v>60</v>
      </c>
      <c r="J39" s="25" t="inlineStr">
        <is>
          <t>Apply Here</t>
        </is>
      </c>
      <c r="K39" s="26" t="n"/>
      <c r="L39" s="26" t="n"/>
      <c r="M39" s="26" t="inlineStr">
        <is>
          <t>Pending</t>
        </is>
      </c>
      <c r="N39" s="27" t="n"/>
      <c r="O39" s="26" t="n"/>
    </row>
    <row r="40">
      <c r="A40" s="19" t="inlineStr">
        <is>
          <t>fdf40b771f71</t>
        </is>
      </c>
      <c r="B40" s="19" t="inlineStr">
        <is>
          <t>15/02/2026</t>
        </is>
      </c>
      <c r="C40" s="19" t="inlineStr">
        <is>
          <t>Senior Civil Engineer - Drainage &amp; Highway</t>
        </is>
      </c>
      <c r="D40" s="19" t="inlineStr">
        <is>
          <t>Pertemps</t>
        </is>
      </c>
      <c r="E40" s="19" t="inlineStr">
        <is>
          <t>Fitzrovia, West London</t>
        </is>
      </c>
      <c r="F40" s="19" t="inlineStr">
        <is>
          <t>£45,000 – £55,000</t>
        </is>
      </c>
      <c r="G40" s="19" t="inlineStr">
        <is>
          <t>Adzuna UK</t>
        </is>
      </c>
      <c r="H40" s="20" t="inlineStr">
        <is>
          <t>CONFIRMED</t>
        </is>
      </c>
      <c r="I40" s="19" t="n">
        <v>60</v>
      </c>
      <c r="J40" s="21" t="inlineStr">
        <is>
          <t>Apply Here</t>
        </is>
      </c>
      <c r="K40" s="22" t="n"/>
      <c r="L40" s="22" t="n"/>
      <c r="M40" s="22" t="inlineStr">
        <is>
          <t>Pending</t>
        </is>
      </c>
      <c r="N40" s="23" t="n"/>
      <c r="O40" s="22" t="n"/>
    </row>
    <row r="41">
      <c r="A41" s="24" t="inlineStr">
        <is>
          <t>9410fd144013</t>
        </is>
      </c>
      <c r="B41" s="24" t="inlineStr">
        <is>
          <t>15/02/2026</t>
        </is>
      </c>
      <c r="C41" s="24" t="inlineStr">
        <is>
          <t>Civil Engineer (Airports) – Pavements and Drainage</t>
        </is>
      </c>
      <c r="D41" s="24" t="inlineStr">
        <is>
          <t>RPS Group Limited</t>
        </is>
      </c>
      <c r="E41" s="24" t="inlineStr">
        <is>
          <t>London, UK</t>
        </is>
      </c>
      <c r="F41" s="24" t="inlineStr">
        <is>
          <t>£43,960 – £43,960</t>
        </is>
      </c>
      <c r="G41" s="24" t="inlineStr">
        <is>
          <t>Adzuna UK</t>
        </is>
      </c>
      <c r="H41" s="20" t="inlineStr">
        <is>
          <t>CONFIRMED</t>
        </is>
      </c>
      <c r="I41" s="24" t="n">
        <v>60</v>
      </c>
      <c r="J41" s="25" t="inlineStr">
        <is>
          <t>Apply Here</t>
        </is>
      </c>
      <c r="K41" s="26" t="n"/>
      <c r="L41" s="26" t="n"/>
      <c r="M41" s="26" t="inlineStr">
        <is>
          <t>Pending</t>
        </is>
      </c>
      <c r="N41" s="27" t="n"/>
      <c r="O41" s="26" t="n"/>
    </row>
    <row r="42">
      <c r="A42" s="19" t="inlineStr">
        <is>
          <t>9c5f476e7cf6</t>
        </is>
      </c>
      <c r="B42" s="19" t="inlineStr">
        <is>
          <t>15/02/2026</t>
        </is>
      </c>
      <c r="C42" s="19" t="inlineStr">
        <is>
          <t>Sr Civil Enigneer</t>
        </is>
      </c>
      <c r="D42" s="19" t="inlineStr">
        <is>
          <t xml:space="preserve">RGB London </t>
        </is>
      </c>
      <c r="E42" s="19" t="inlineStr">
        <is>
          <t>Central London, London</t>
        </is>
      </c>
      <c r="F42" s="19" t="inlineStr">
        <is>
          <t>£45,000 – £55,000</t>
        </is>
      </c>
      <c r="G42" s="19" t="inlineStr">
        <is>
          <t>Adzuna UK</t>
        </is>
      </c>
      <c r="H42" s="20" t="inlineStr">
        <is>
          <t>CONFIRMED</t>
        </is>
      </c>
      <c r="I42" s="19" t="n">
        <v>60</v>
      </c>
      <c r="J42" s="21" t="inlineStr">
        <is>
          <t>Apply Here</t>
        </is>
      </c>
      <c r="K42" s="22" t="n"/>
      <c r="L42" s="22" t="n"/>
      <c r="M42" s="22" t="inlineStr">
        <is>
          <t>Pending</t>
        </is>
      </c>
      <c r="N42" s="23" t="n"/>
      <c r="O42" s="22" t="n"/>
    </row>
    <row r="43">
      <c r="A43" s="24" t="inlineStr">
        <is>
          <t>d0f126a7e892</t>
        </is>
      </c>
      <c r="B43" s="24" t="inlineStr">
        <is>
          <t>15/02/2026</t>
        </is>
      </c>
      <c r="C43" s="24" t="inlineStr">
        <is>
          <t>Assistant Quantity Surveyor / Estimator - Civil Engineering</t>
        </is>
      </c>
      <c r="D43" s="24" t="inlineStr">
        <is>
          <t>Henley Chase</t>
        </is>
      </c>
      <c r="E43" s="24" t="inlineStr">
        <is>
          <t>New Haw, Addlestone</t>
        </is>
      </c>
      <c r="F43" s="24" t="inlineStr">
        <is>
          <t>£30,000 – £50,000</t>
        </is>
      </c>
      <c r="G43" s="24" t="inlineStr">
        <is>
          <t>Adzuna UK</t>
        </is>
      </c>
      <c r="H43" s="20" t="inlineStr">
        <is>
          <t>CONFIRMED</t>
        </is>
      </c>
      <c r="I43" s="24" t="n">
        <v>60</v>
      </c>
      <c r="J43" s="25" t="inlineStr">
        <is>
          <t>Apply Here</t>
        </is>
      </c>
      <c r="K43" s="26" t="n"/>
      <c r="L43" s="26" t="n"/>
      <c r="M43" s="26" t="inlineStr">
        <is>
          <t>Pending</t>
        </is>
      </c>
      <c r="N43" s="27" t="n"/>
      <c r="O43" s="26" t="n"/>
    </row>
    <row r="44">
      <c r="A44" s="19" t="inlineStr">
        <is>
          <t>035607cabc8c</t>
        </is>
      </c>
      <c r="B44" s="19" t="inlineStr">
        <is>
          <t>15/02/2026</t>
        </is>
      </c>
      <c r="C44" s="19" t="inlineStr">
        <is>
          <t>Health And Safety Manager</t>
        </is>
      </c>
      <c r="D44" s="19" t="inlineStr">
        <is>
          <t>OH Medical Recruitment Ltd</t>
        </is>
      </c>
      <c r="E44" s="19" t="inlineStr">
        <is>
          <t>Penenden Heath, Maidstone</t>
        </is>
      </c>
      <c r="F44" s="19" t="inlineStr">
        <is>
          <t>£50,000 – £55,000</t>
        </is>
      </c>
      <c r="G44" s="19" t="inlineStr">
        <is>
          <t>Adzuna UK</t>
        </is>
      </c>
      <c r="H44" s="20" t="inlineStr">
        <is>
          <t>CONFIRMED</t>
        </is>
      </c>
      <c r="I44" s="19" t="n">
        <v>60</v>
      </c>
      <c r="J44" s="21" t="inlineStr">
        <is>
          <t>Apply Here</t>
        </is>
      </c>
      <c r="K44" s="22" t="n"/>
      <c r="L44" s="22" t="n"/>
      <c r="M44" s="22" t="inlineStr">
        <is>
          <t>Pending</t>
        </is>
      </c>
      <c r="N44" s="23" t="n"/>
      <c r="O44" s="22" t="n"/>
    </row>
    <row r="45">
      <c r="A45" s="24" t="inlineStr">
        <is>
          <t>cc30ace0f79e</t>
        </is>
      </c>
      <c r="B45" s="24" t="inlineStr">
        <is>
          <t>15/02/2026</t>
        </is>
      </c>
      <c r="C45" s="24" t="inlineStr">
        <is>
          <t>Junior Quantity Surveyor / Estimator - Civil Engineering</t>
        </is>
      </c>
      <c r="D45" s="24" t="inlineStr">
        <is>
          <t>Henley Chase Limited</t>
        </is>
      </c>
      <c r="E45" s="24" t="inlineStr">
        <is>
          <t>Addlestone, Surrey</t>
        </is>
      </c>
      <c r="F45" s="24" t="inlineStr">
        <is>
          <t>£30,000 – £50,000</t>
        </is>
      </c>
      <c r="G45" s="24" t="inlineStr">
        <is>
          <t>Adzuna UK</t>
        </is>
      </c>
      <c r="H45" s="20" t="inlineStr">
        <is>
          <t>CONFIRMED</t>
        </is>
      </c>
      <c r="I45" s="24" t="n">
        <v>60</v>
      </c>
      <c r="J45" s="25" t="inlineStr">
        <is>
          <t>Apply Here</t>
        </is>
      </c>
      <c r="K45" s="26" t="n"/>
      <c r="L45" s="26" t="n"/>
      <c r="M45" s="26" t="inlineStr">
        <is>
          <t>Pending</t>
        </is>
      </c>
      <c r="N45" s="27" t="n"/>
      <c r="O45" s="26" t="n"/>
    </row>
    <row r="46">
      <c r="A46" s="19" t="inlineStr">
        <is>
          <t>6f7789549243</t>
        </is>
      </c>
      <c r="B46" s="19" t="inlineStr">
        <is>
          <t>15/02/2026</t>
        </is>
      </c>
      <c r="C46" s="19" t="inlineStr">
        <is>
          <t>Drainage Design Engineer</t>
        </is>
      </c>
      <c r="D46" s="19" t="inlineStr">
        <is>
          <t>Pave Recruit</t>
        </is>
      </c>
      <c r="E46" s="19" t="inlineStr">
        <is>
          <t>Richmond, West London</t>
        </is>
      </c>
      <c r="F46" s="19" t="inlineStr">
        <is>
          <t>£38,000 – £44,000</t>
        </is>
      </c>
      <c r="G46" s="19" t="inlineStr">
        <is>
          <t>Adzuna UK</t>
        </is>
      </c>
      <c r="H46" s="20" t="inlineStr">
        <is>
          <t>CONFIRMED</t>
        </is>
      </c>
      <c r="I46" s="19" t="n">
        <v>55</v>
      </c>
      <c r="J46" s="21" t="inlineStr">
        <is>
          <t>Apply Here</t>
        </is>
      </c>
      <c r="K46" s="22" t="n"/>
      <c r="L46" s="22" t="n"/>
      <c r="M46" s="22" t="inlineStr">
        <is>
          <t>Pending</t>
        </is>
      </c>
      <c r="N46" s="23" t="n"/>
      <c r="O46" s="22" t="n"/>
    </row>
    <row r="47">
      <c r="A47" s="24" t="inlineStr">
        <is>
          <t>dfece6b6a788</t>
        </is>
      </c>
      <c r="B47" s="24" t="inlineStr">
        <is>
          <t>15/02/2026</t>
        </is>
      </c>
      <c r="C47" s="24" t="inlineStr">
        <is>
          <t>Senior Mechanical Engineer - Water</t>
        </is>
      </c>
      <c r="D47" s="24" t="inlineStr">
        <is>
          <t>AECOM</t>
        </is>
      </c>
      <c r="E47" s="24" t="inlineStr">
        <is>
          <t>St. Albans, Hertfordshire</t>
        </is>
      </c>
      <c r="F47" s="24" t="inlineStr">
        <is>
          <t>£45,822 – £45,822</t>
        </is>
      </c>
      <c r="G47" s="24" t="inlineStr">
        <is>
          <t>Adzuna UK</t>
        </is>
      </c>
      <c r="H47" s="20" t="inlineStr">
        <is>
          <t>CONFIRMED</t>
        </is>
      </c>
      <c r="I47" s="24" t="n">
        <v>55</v>
      </c>
      <c r="J47" s="25" t="inlineStr">
        <is>
          <t>Apply Here</t>
        </is>
      </c>
      <c r="K47" s="26" t="n"/>
      <c r="L47" s="26" t="n"/>
      <c r="M47" s="26" t="inlineStr">
        <is>
          <t>Pending</t>
        </is>
      </c>
      <c r="N47" s="27" t="n"/>
      <c r="O47" s="26" t="n"/>
    </row>
    <row r="48">
      <c r="A48" s="19" t="inlineStr">
        <is>
          <t>2f2bb9d9fd30</t>
        </is>
      </c>
      <c r="B48" s="19" t="inlineStr">
        <is>
          <t>15/02/2026</t>
        </is>
      </c>
      <c r="C48" s="19" t="inlineStr">
        <is>
          <t>Senior Mechanical Engineer - Water</t>
        </is>
      </c>
      <c r="D48" s="19" t="inlineStr">
        <is>
          <t>AECOM</t>
        </is>
      </c>
      <c r="E48" s="19" t="inlineStr">
        <is>
          <t>London, UK</t>
        </is>
      </c>
      <c r="F48" s="19" t="inlineStr">
        <is>
          <t>£47,172 – £47,172</t>
        </is>
      </c>
      <c r="G48" s="19" t="inlineStr">
        <is>
          <t>Adzuna UK</t>
        </is>
      </c>
      <c r="H48" s="20" t="inlineStr">
        <is>
          <t>CONFIRMED</t>
        </is>
      </c>
      <c r="I48" s="19" t="n">
        <v>55</v>
      </c>
      <c r="J48" s="21" t="inlineStr">
        <is>
          <t>Apply Here</t>
        </is>
      </c>
      <c r="K48" s="22" t="n"/>
      <c r="L48" s="22" t="n"/>
      <c r="M48" s="22" t="inlineStr">
        <is>
          <t>Pending</t>
        </is>
      </c>
      <c r="N48" s="23" t="n"/>
      <c r="O48" s="22" t="n"/>
    </row>
    <row r="49">
      <c r="A49" s="24" t="inlineStr">
        <is>
          <t>fc80e2186d44</t>
        </is>
      </c>
      <c r="B49" s="24" t="inlineStr">
        <is>
          <t>15/02/2026</t>
        </is>
      </c>
      <c r="C49" s="24" t="inlineStr">
        <is>
          <t>Senior Mechanical Engineer - Water</t>
        </is>
      </c>
      <c r="D49" s="24" t="inlineStr">
        <is>
          <t>AECOM</t>
        </is>
      </c>
      <c r="E49" s="24" t="inlineStr">
        <is>
          <t>Croydon, London</t>
        </is>
      </c>
      <c r="F49" s="24" t="inlineStr">
        <is>
          <t>£45,115 – £45,115</t>
        </is>
      </c>
      <c r="G49" s="24" t="inlineStr">
        <is>
          <t>Adzuna UK</t>
        </is>
      </c>
      <c r="H49" s="20" t="inlineStr">
        <is>
          <t>CONFIRMED</t>
        </is>
      </c>
      <c r="I49" s="24" t="n">
        <v>55</v>
      </c>
      <c r="J49" s="25" t="inlineStr">
        <is>
          <t>Apply Here</t>
        </is>
      </c>
      <c r="K49" s="26" t="n"/>
      <c r="L49" s="26" t="n"/>
      <c r="M49" s="26" t="inlineStr">
        <is>
          <t>Pending</t>
        </is>
      </c>
      <c r="N49" s="27" t="n"/>
      <c r="O49" s="26" t="n"/>
    </row>
    <row r="50">
      <c r="A50" s="19" t="inlineStr">
        <is>
          <t>52d7faad0dee</t>
        </is>
      </c>
      <c r="B50" s="19" t="inlineStr">
        <is>
          <t>15/02/2026</t>
        </is>
      </c>
      <c r="C50" s="19" t="inlineStr">
        <is>
          <t>Grow Your Career In The Water Sector - Expression of Interest</t>
        </is>
      </c>
      <c r="D50" s="19" t="inlineStr">
        <is>
          <t>AECOM</t>
        </is>
      </c>
      <c r="E50" s="19" t="inlineStr">
        <is>
          <t>St. Albans, Hertfordshire</t>
        </is>
      </c>
      <c r="F50" s="19" t="inlineStr">
        <is>
          <t>£45,523 – £45,523</t>
        </is>
      </c>
      <c r="G50" s="19" t="inlineStr">
        <is>
          <t>Adzuna UK</t>
        </is>
      </c>
      <c r="H50" s="20" t="inlineStr">
        <is>
          <t>CONFIRMED</t>
        </is>
      </c>
      <c r="I50" s="19" t="n">
        <v>55</v>
      </c>
      <c r="J50" s="21" t="inlineStr">
        <is>
          <t>Apply Here</t>
        </is>
      </c>
      <c r="K50" s="22" t="n"/>
      <c r="L50" s="22" t="n"/>
      <c r="M50" s="22" t="inlineStr">
        <is>
          <t>Pending</t>
        </is>
      </c>
      <c r="N50" s="23" t="n"/>
      <c r="O50" s="22" t="n"/>
    </row>
    <row r="51">
      <c r="A51" s="24" t="inlineStr">
        <is>
          <t>697a1f124224</t>
        </is>
      </c>
      <c r="B51" s="24" t="inlineStr">
        <is>
          <t>15/02/2026</t>
        </is>
      </c>
      <c r="C51" s="24" t="inlineStr">
        <is>
          <t>Grow Your Career In The Water Sector - Expression of Interest</t>
        </is>
      </c>
      <c r="D51" s="24" t="inlineStr">
        <is>
          <t>AECOM</t>
        </is>
      </c>
      <c r="E51" s="24" t="inlineStr">
        <is>
          <t>London, UK</t>
        </is>
      </c>
      <c r="F51" s="24" t="inlineStr">
        <is>
          <t>£46,865 – £46,865</t>
        </is>
      </c>
      <c r="G51" s="24" t="inlineStr">
        <is>
          <t>Adzuna UK</t>
        </is>
      </c>
      <c r="H51" s="20" t="inlineStr">
        <is>
          <t>CONFIRMED</t>
        </is>
      </c>
      <c r="I51" s="24" t="n">
        <v>55</v>
      </c>
      <c r="J51" s="25" t="inlineStr">
        <is>
          <t>Apply Here</t>
        </is>
      </c>
      <c r="K51" s="26" t="n"/>
      <c r="L51" s="26" t="n"/>
      <c r="M51" s="26" t="inlineStr">
        <is>
          <t>Pending</t>
        </is>
      </c>
      <c r="N51" s="27" t="n"/>
      <c r="O51" s="26" t="n"/>
    </row>
    <row r="52">
      <c r="A52" s="19" t="inlineStr">
        <is>
          <t>375ca6687a66</t>
        </is>
      </c>
      <c r="B52" s="19" t="inlineStr">
        <is>
          <t>15/02/2026</t>
        </is>
      </c>
      <c r="C52" s="19" t="inlineStr">
        <is>
          <t>Grow Your Career In The Water Sector - Expression of Interest</t>
        </is>
      </c>
      <c r="D52" s="19" t="inlineStr">
        <is>
          <t>AECOM</t>
        </is>
      </c>
      <c r="E52" s="19" t="inlineStr">
        <is>
          <t>Croydon, London</t>
        </is>
      </c>
      <c r="F52" s="19" t="inlineStr">
        <is>
          <t>£44,821 – £44,821</t>
        </is>
      </c>
      <c r="G52" s="19" t="inlineStr">
        <is>
          <t>Adzuna UK</t>
        </is>
      </c>
      <c r="H52" s="20" t="inlineStr">
        <is>
          <t>CONFIRMED</t>
        </is>
      </c>
      <c r="I52" s="19" t="n">
        <v>55</v>
      </c>
      <c r="J52" s="21" t="inlineStr">
        <is>
          <t>Apply Here</t>
        </is>
      </c>
      <c r="K52" s="22" t="n"/>
      <c r="L52" s="22" t="n"/>
      <c r="M52" s="22" t="inlineStr">
        <is>
          <t>Pending</t>
        </is>
      </c>
      <c r="N52" s="23" t="n"/>
      <c r="O52" s="22" t="n"/>
    </row>
    <row r="53">
      <c r="A53" s="24" t="inlineStr">
        <is>
          <t>36cef26b3177</t>
        </is>
      </c>
      <c r="B53" s="24" t="inlineStr">
        <is>
          <t>15/02/2026</t>
        </is>
      </c>
      <c r="C53" s="24" t="inlineStr">
        <is>
          <t>Water &amp; Wastewater Sales Engineer - South UK Infrastructure</t>
        </is>
      </c>
      <c r="D53" s="24" t="inlineStr">
        <is>
          <t>Victaulic</t>
        </is>
      </c>
      <c r="E53" s="24" t="inlineStr">
        <is>
          <t>London, UK</t>
        </is>
      </c>
      <c r="F53" s="24" t="inlineStr">
        <is>
          <t>£51,376 – £51,376</t>
        </is>
      </c>
      <c r="G53" s="24" t="inlineStr">
        <is>
          <t>Adzuna UK</t>
        </is>
      </c>
      <c r="H53" s="20" t="inlineStr">
        <is>
          <t>CONFIRMED</t>
        </is>
      </c>
      <c r="I53" s="24" t="n">
        <v>55</v>
      </c>
      <c r="J53" s="25" t="inlineStr">
        <is>
          <t>Apply Here</t>
        </is>
      </c>
      <c r="K53" s="26" t="n"/>
      <c r="L53" s="26" t="n"/>
      <c r="M53" s="26" t="inlineStr">
        <is>
          <t>Pending</t>
        </is>
      </c>
      <c r="N53" s="27" t="n"/>
      <c r="O53" s="26" t="n"/>
    </row>
    <row r="54">
      <c r="A54" s="19" t="inlineStr">
        <is>
          <t>1868dd8b22f1</t>
        </is>
      </c>
      <c r="B54" s="19" t="inlineStr">
        <is>
          <t>15/02/2026</t>
        </is>
      </c>
      <c r="C54" s="19" t="inlineStr">
        <is>
          <t>Senior Clean Water Process Engineer</t>
        </is>
      </c>
      <c r="D54" s="19" t="inlineStr">
        <is>
          <t>Manpower UK Ltd</t>
        </is>
      </c>
      <c r="E54" s="19" t="inlineStr">
        <is>
          <t>Farringdon, Central London</t>
        </is>
      </c>
      <c r="F54" s="19" t="inlineStr">
        <is>
          <t>£50,810 – £50,810</t>
        </is>
      </c>
      <c r="G54" s="19" t="inlineStr">
        <is>
          <t>Adzuna UK</t>
        </is>
      </c>
      <c r="H54" s="20" t="inlineStr">
        <is>
          <t>CONFIRMED</t>
        </is>
      </c>
      <c r="I54" s="19" t="n">
        <v>55</v>
      </c>
      <c r="J54" s="21" t="inlineStr">
        <is>
          <t>Apply Here</t>
        </is>
      </c>
      <c r="K54" s="22" t="n"/>
      <c r="L54" s="22" t="n"/>
      <c r="M54" s="22" t="inlineStr">
        <is>
          <t>Pending</t>
        </is>
      </c>
      <c r="N54" s="23" t="n"/>
      <c r="O54" s="22" t="n"/>
    </row>
    <row r="55">
      <c r="A55" s="24" t="inlineStr">
        <is>
          <t>75d777dccb91</t>
        </is>
      </c>
      <c r="B55" s="24" t="inlineStr">
        <is>
          <t>15/02/2026</t>
        </is>
      </c>
      <c r="C55" s="24" t="inlineStr">
        <is>
          <t>Assistant Engineer - Clean Water Modelling</t>
        </is>
      </c>
      <c r="D55" s="24" t="inlineStr">
        <is>
          <t>WSP</t>
        </is>
      </c>
      <c r="E55" s="24" t="inlineStr">
        <is>
          <t>Aldwych, Central London</t>
        </is>
      </c>
      <c r="F55" s="24" t="inlineStr">
        <is>
          <t>£45,719 – £45,719</t>
        </is>
      </c>
      <c r="G55" s="24" t="inlineStr">
        <is>
          <t>Adzuna UK</t>
        </is>
      </c>
      <c r="H55" s="20" t="inlineStr">
        <is>
          <t>CONFIRMED</t>
        </is>
      </c>
      <c r="I55" s="24" t="n">
        <v>55</v>
      </c>
      <c r="J55" s="25" t="inlineStr">
        <is>
          <t>Apply Here</t>
        </is>
      </c>
      <c r="K55" s="26" t="n"/>
      <c r="L55" s="26" t="n"/>
      <c r="M55" s="26" t="inlineStr">
        <is>
          <t>Pending</t>
        </is>
      </c>
      <c r="N55" s="27" t="n"/>
      <c r="O55" s="26" t="n"/>
    </row>
    <row r="56">
      <c r="A56" s="19" t="inlineStr">
        <is>
          <t>d89f2477442a</t>
        </is>
      </c>
      <c r="B56" s="19" t="inlineStr">
        <is>
          <t>15/02/2026</t>
        </is>
      </c>
      <c r="C56" s="19" t="inlineStr">
        <is>
          <t>Drainage Design Engineer</t>
        </is>
      </c>
      <c r="D56" s="19" t="inlineStr">
        <is>
          <t>Pave Recruit</t>
        </is>
      </c>
      <c r="E56" s="19" t="inlineStr">
        <is>
          <t>Richmond, West London</t>
        </is>
      </c>
      <c r="F56" s="19" t="inlineStr">
        <is>
          <t>£38,000 – £44,000</t>
        </is>
      </c>
      <c r="G56" s="19" t="inlineStr">
        <is>
          <t>Adzuna UK</t>
        </is>
      </c>
      <c r="H56" s="20" t="inlineStr">
        <is>
          <t>CONFIRMED</t>
        </is>
      </c>
      <c r="I56" s="19" t="n">
        <v>55</v>
      </c>
      <c r="J56" s="21" t="inlineStr">
        <is>
          <t>Apply Here</t>
        </is>
      </c>
      <c r="K56" s="22" t="n"/>
      <c r="L56" s="22" t="n"/>
      <c r="M56" s="22" t="inlineStr">
        <is>
          <t>Pending</t>
        </is>
      </c>
      <c r="N56" s="23" t="n"/>
      <c r="O56" s="22" t="n"/>
    </row>
    <row r="57">
      <c r="A57" s="24" t="inlineStr">
        <is>
          <t>0cbcac4a86b9</t>
        </is>
      </c>
      <c r="B57" s="24" t="inlineStr">
        <is>
          <t>15/02/2026</t>
        </is>
      </c>
      <c r="C57" s="24" t="inlineStr">
        <is>
          <t>Pollution Response Technician</t>
        </is>
      </c>
      <c r="D57" s="24" t="inlineStr">
        <is>
          <t>Lanes Group</t>
        </is>
      </c>
      <c r="E57" s="24" t="inlineStr">
        <is>
          <t>Tudeley, Tonbridge</t>
        </is>
      </c>
      <c r="F57" s="24" t="inlineStr">
        <is>
          <t>£54,416 – £54,416</t>
        </is>
      </c>
      <c r="G57" s="24" t="inlineStr">
        <is>
          <t>Adzuna UK</t>
        </is>
      </c>
      <c r="H57" s="20" t="inlineStr">
        <is>
          <t>CONFIRMED</t>
        </is>
      </c>
      <c r="I57" s="24" t="n">
        <v>55</v>
      </c>
      <c r="J57" s="25" t="inlineStr">
        <is>
          <t>Apply Here</t>
        </is>
      </c>
      <c r="K57" s="26" t="n"/>
      <c r="L57" s="26" t="n"/>
      <c r="M57" s="26" t="inlineStr">
        <is>
          <t>Pending</t>
        </is>
      </c>
      <c r="N57" s="27" t="n"/>
      <c r="O57" s="26" t="n"/>
    </row>
    <row r="58">
      <c r="A58" s="19" t="inlineStr">
        <is>
          <t>296cf959bd9d</t>
        </is>
      </c>
      <c r="B58" s="19" t="inlineStr">
        <is>
          <t>15/02/2026</t>
        </is>
      </c>
      <c r="C58" s="19" t="inlineStr">
        <is>
          <t>Drainage Operations Manager</t>
        </is>
      </c>
      <c r="D58" s="19" t="inlineStr">
        <is>
          <t>Vector Recruitment</t>
        </is>
      </c>
      <c r="E58" s="19" t="inlineStr">
        <is>
          <t>Essex, Eastern England</t>
        </is>
      </c>
      <c r="F58" s="19" t="inlineStr">
        <is>
          <t>£50,000 – £55,000</t>
        </is>
      </c>
      <c r="G58" s="19" t="inlineStr">
        <is>
          <t>Adzuna UK</t>
        </is>
      </c>
      <c r="H58" s="20" t="inlineStr">
        <is>
          <t>CONFIRMED</t>
        </is>
      </c>
      <c r="I58" s="19" t="n">
        <v>55</v>
      </c>
      <c r="J58" s="21" t="inlineStr">
        <is>
          <t>Apply Here</t>
        </is>
      </c>
      <c r="K58" s="22" t="n"/>
      <c r="L58" s="22" t="n"/>
      <c r="M58" s="22" t="inlineStr">
        <is>
          <t>Pending</t>
        </is>
      </c>
      <c r="N58" s="23" t="n"/>
      <c r="O58" s="22" t="n"/>
    </row>
    <row r="59">
      <c r="A59" s="24" t="inlineStr">
        <is>
          <t>3fe9e9bb4a7a</t>
        </is>
      </c>
      <c r="B59" s="24" t="inlineStr">
        <is>
          <t>15/02/2026</t>
        </is>
      </c>
      <c r="C59" s="24" t="inlineStr">
        <is>
          <t>Senior Quantity Surveyor</t>
        </is>
      </c>
      <c r="D59" s="24" t="inlineStr">
        <is>
          <t>Intersect Global Ltd</t>
        </is>
      </c>
      <c r="E59" s="24" t="inlineStr">
        <is>
          <t>Aylesbury, Buckinghamshire</t>
        </is>
      </c>
      <c r="F59" s="24" t="inlineStr">
        <is>
          <t>£9,100 – £117,000</t>
        </is>
      </c>
      <c r="G59" s="24" t="inlineStr">
        <is>
          <t>Adzuna UK</t>
        </is>
      </c>
      <c r="H59" s="20" t="inlineStr">
        <is>
          <t>CONFIRMED</t>
        </is>
      </c>
      <c r="I59" s="24" t="n">
        <v>55</v>
      </c>
      <c r="J59" s="25" t="inlineStr">
        <is>
          <t>Apply Here</t>
        </is>
      </c>
      <c r="K59" s="26" t="n"/>
      <c r="L59" s="26" t="n"/>
      <c r="M59" s="26" t="inlineStr">
        <is>
          <t>Pending</t>
        </is>
      </c>
      <c r="N59" s="27" t="n"/>
      <c r="O59" s="26" t="n"/>
    </row>
    <row r="60">
      <c r="A60" s="19" t="inlineStr">
        <is>
          <t>6942548a1bb3</t>
        </is>
      </c>
      <c r="B60" s="19" t="inlineStr">
        <is>
          <t>15/02/2026</t>
        </is>
      </c>
      <c r="C60" s="19" t="inlineStr">
        <is>
          <t>Senior Civil Engineer</t>
        </is>
      </c>
      <c r="D60" s="19" t="inlineStr">
        <is>
          <t>Mott MacDonald</t>
        </is>
      </c>
      <c r="E60" s="19" t="inlineStr">
        <is>
          <t>London, UK</t>
        </is>
      </c>
      <c r="F60" s="19" t="inlineStr">
        <is>
          <t>£51,904 – £51,904</t>
        </is>
      </c>
      <c r="G60" s="19" t="inlineStr">
        <is>
          <t>Adzuna UK</t>
        </is>
      </c>
      <c r="H60" s="20" t="inlineStr">
        <is>
          <t>CONFIRMED</t>
        </is>
      </c>
      <c r="I60" s="19" t="n">
        <v>50</v>
      </c>
      <c r="J60" s="21" t="inlineStr">
        <is>
          <t>Apply Here</t>
        </is>
      </c>
      <c r="K60" s="22" t="n"/>
      <c r="L60" s="22" t="n"/>
      <c r="M60" s="22" t="inlineStr">
        <is>
          <t>Pending</t>
        </is>
      </c>
      <c r="N60" s="23" t="n"/>
      <c r="O60" s="22" t="n"/>
    </row>
    <row r="61">
      <c r="A61" s="24" t="inlineStr">
        <is>
          <t>c788a5f85f8d</t>
        </is>
      </c>
      <c r="B61" s="24" t="inlineStr">
        <is>
          <t>15/02/2026</t>
        </is>
      </c>
      <c r="C61" s="24" t="inlineStr">
        <is>
          <t>Electrical Engineer</t>
        </is>
      </c>
      <c r="D61" s="24" t="inlineStr">
        <is>
          <t>Mott MacDonald</t>
        </is>
      </c>
      <c r="E61" s="24" t="inlineStr">
        <is>
          <t>Caversham, Reading</t>
        </is>
      </c>
      <c r="F61" s="24" t="inlineStr">
        <is>
          <t>£45,633 – £45,633</t>
        </is>
      </c>
      <c r="G61" s="24" t="inlineStr">
        <is>
          <t>Adzuna UK</t>
        </is>
      </c>
      <c r="H61" s="20" t="inlineStr">
        <is>
          <t>CONFIRMED</t>
        </is>
      </c>
      <c r="I61" s="24" t="n">
        <v>50</v>
      </c>
      <c r="J61" s="25" t="inlineStr">
        <is>
          <t>Apply Here</t>
        </is>
      </c>
      <c r="K61" s="26" t="n"/>
      <c r="L61" s="26" t="n"/>
      <c r="M61" s="26" t="inlineStr">
        <is>
          <t>Pending</t>
        </is>
      </c>
      <c r="N61" s="27" t="n"/>
      <c r="O61" s="26" t="n"/>
    </row>
    <row r="62">
      <c r="A62" s="19" t="inlineStr">
        <is>
          <t>94d862510980</t>
        </is>
      </c>
      <c r="B62" s="19" t="inlineStr">
        <is>
          <t>15/02/2026</t>
        </is>
      </c>
      <c r="C62" s="19" t="inlineStr">
        <is>
          <t>Electrical Project/Design Engineer</t>
        </is>
      </c>
      <c r="D62" s="19" t="inlineStr">
        <is>
          <t>Matchtech</t>
        </is>
      </c>
      <c r="E62" s="19" t="inlineStr">
        <is>
          <t>Farringdon, Central London</t>
        </is>
      </c>
      <c r="F62" s="19" t="inlineStr">
        <is>
          <t>£40,000 – £50,000</t>
        </is>
      </c>
      <c r="G62" s="19" t="inlineStr">
        <is>
          <t>Adzuna UK</t>
        </is>
      </c>
      <c r="H62" s="20" t="inlineStr">
        <is>
          <t>CONFIRMED</t>
        </is>
      </c>
      <c r="I62" s="19" t="n">
        <v>50</v>
      </c>
      <c r="J62" s="21" t="inlineStr">
        <is>
          <t>Apply Here</t>
        </is>
      </c>
      <c r="K62" s="22" t="n"/>
      <c r="L62" s="22" t="n"/>
      <c r="M62" s="22" t="inlineStr">
        <is>
          <t>Pending</t>
        </is>
      </c>
      <c r="N62" s="23" t="n"/>
      <c r="O62" s="22" t="n"/>
    </row>
    <row r="63">
      <c r="A63" s="24" t="inlineStr">
        <is>
          <t>1bea2c6ce4b6</t>
        </is>
      </c>
      <c r="B63" s="24" t="inlineStr">
        <is>
          <t>15/02/2026</t>
        </is>
      </c>
      <c r="C63" s="24" t="inlineStr">
        <is>
          <t>Civil Engineer Project Leader</t>
        </is>
      </c>
      <c r="D63" s="24" t="inlineStr">
        <is>
          <t>Mott MacDonald</t>
        </is>
      </c>
      <c r="E63" s="24" t="inlineStr">
        <is>
          <t>Caversham, Reading</t>
        </is>
      </c>
      <c r="F63" s="24" t="inlineStr">
        <is>
          <t>£48,165 – £48,165</t>
        </is>
      </c>
      <c r="G63" s="24" t="inlineStr">
        <is>
          <t>Adzuna UK</t>
        </is>
      </c>
      <c r="H63" s="20" t="inlineStr">
        <is>
          <t>CONFIRMED</t>
        </is>
      </c>
      <c r="I63" s="24" t="n">
        <v>50</v>
      </c>
      <c r="J63" s="25" t="inlineStr">
        <is>
          <t>Apply Here</t>
        </is>
      </c>
      <c r="K63" s="26" t="n"/>
      <c r="L63" s="26" t="n"/>
      <c r="M63" s="26" t="inlineStr">
        <is>
          <t>Pending</t>
        </is>
      </c>
      <c r="N63" s="27" t="n"/>
      <c r="O63" s="26" t="n"/>
    </row>
    <row r="64">
      <c r="A64" s="19" t="inlineStr">
        <is>
          <t>6e3afb8320ae</t>
        </is>
      </c>
      <c r="B64" s="19" t="inlineStr">
        <is>
          <t>15/02/2026</t>
        </is>
      </c>
      <c r="C64" s="19" t="inlineStr">
        <is>
          <t>Civil Engineer (Hybrid)</t>
        </is>
      </c>
      <c r="D64" s="19" t="inlineStr">
        <is>
          <t>Ernest Gordon Recruitment</t>
        </is>
      </c>
      <c r="E64" s="19" t="inlineStr">
        <is>
          <t>Slough, Berkshire</t>
        </is>
      </c>
      <c r="F64" s="19" t="inlineStr">
        <is>
          <t>£55,000 – £55,000</t>
        </is>
      </c>
      <c r="G64" s="19" t="inlineStr">
        <is>
          <t>Adzuna UK</t>
        </is>
      </c>
      <c r="H64" s="20" t="inlineStr">
        <is>
          <t>CONFIRMED</t>
        </is>
      </c>
      <c r="I64" s="19" t="n">
        <v>50</v>
      </c>
      <c r="J64" s="21" t="inlineStr">
        <is>
          <t>Apply Here</t>
        </is>
      </c>
      <c r="K64" s="22" t="n"/>
      <c r="L64" s="22" t="n"/>
      <c r="M64" s="22" t="inlineStr">
        <is>
          <t>Pending</t>
        </is>
      </c>
      <c r="N64" s="23" t="n"/>
      <c r="O64" s="22" t="n"/>
    </row>
    <row r="65">
      <c r="A65" s="24" t="inlineStr">
        <is>
          <t>47af7f488d90</t>
        </is>
      </c>
      <c r="B65" s="24" t="inlineStr">
        <is>
          <t>15/02/2026</t>
        </is>
      </c>
      <c r="C65" s="24" t="inlineStr">
        <is>
          <t>Civil Engineer Hybrid</t>
        </is>
      </c>
      <c r="D65" s="24" t="inlineStr">
        <is>
          <t>Ernest Gordon Recruitment Limited</t>
        </is>
      </c>
      <c r="E65" s="24" t="inlineStr">
        <is>
          <t>Slough, Berkshire</t>
        </is>
      </c>
      <c r="F65" s="24" t="inlineStr">
        <is>
          <t>£45,000 – £55,000</t>
        </is>
      </c>
      <c r="G65" s="24" t="inlineStr">
        <is>
          <t>Adzuna UK</t>
        </is>
      </c>
      <c r="H65" s="20" t="inlineStr">
        <is>
          <t>CONFIRMED</t>
        </is>
      </c>
      <c r="I65" s="24" t="n">
        <v>50</v>
      </c>
      <c r="J65" s="25" t="inlineStr">
        <is>
          <t>Apply Here</t>
        </is>
      </c>
      <c r="K65" s="26" t="n"/>
      <c r="L65" s="26" t="n"/>
      <c r="M65" s="26" t="inlineStr">
        <is>
          <t>Pending</t>
        </is>
      </c>
      <c r="N65" s="27" t="n"/>
      <c r="O65" s="26" t="n"/>
    </row>
    <row r="66">
      <c r="A66" s="19" t="inlineStr">
        <is>
          <t>70710063f3c2</t>
        </is>
      </c>
      <c r="B66" s="19" t="inlineStr">
        <is>
          <t>15/02/2026</t>
        </is>
      </c>
      <c r="C66" s="19" t="inlineStr">
        <is>
          <t>Civil Engineer (Water industry)</t>
        </is>
      </c>
      <c r="D66" s="19" t="inlineStr">
        <is>
          <t>Ernest Gordon Recruitment</t>
        </is>
      </c>
      <c r="E66" s="19" t="inlineStr">
        <is>
          <t>Slough, Berkshire</t>
        </is>
      </c>
      <c r="F66" s="19" t="inlineStr">
        <is>
          <t>£55,000 – £55,000</t>
        </is>
      </c>
      <c r="G66" s="19" t="inlineStr">
        <is>
          <t>Adzuna UK</t>
        </is>
      </c>
      <c r="H66" s="20" t="inlineStr">
        <is>
          <t>CONFIRMED</t>
        </is>
      </c>
      <c r="I66" s="19" t="n">
        <v>50</v>
      </c>
      <c r="J66" s="21" t="inlineStr">
        <is>
          <t>Apply Here</t>
        </is>
      </c>
      <c r="K66" s="22" t="n"/>
      <c r="L66" s="22" t="n"/>
      <c r="M66" s="22" t="inlineStr">
        <is>
          <t>Pending</t>
        </is>
      </c>
      <c r="N66" s="23" t="n"/>
      <c r="O66" s="22" t="n"/>
    </row>
    <row r="67">
      <c r="A67" s="24" t="inlineStr">
        <is>
          <t>65e21941473e</t>
        </is>
      </c>
      <c r="B67" s="24" t="inlineStr">
        <is>
          <t>15/02/2026</t>
        </is>
      </c>
      <c r="C67" s="24" t="inlineStr">
        <is>
          <t>Civil Engineer Water industry</t>
        </is>
      </c>
      <c r="D67" s="24" t="inlineStr">
        <is>
          <t>Ernest Gordon Recruitment Limited</t>
        </is>
      </c>
      <c r="E67" s="24" t="inlineStr">
        <is>
          <t>Slough, Berkshire</t>
        </is>
      </c>
      <c r="F67" s="24" t="inlineStr">
        <is>
          <t>£45,000 – £55,000</t>
        </is>
      </c>
      <c r="G67" s="24" t="inlineStr">
        <is>
          <t>Adzuna UK</t>
        </is>
      </c>
      <c r="H67" s="20" t="inlineStr">
        <is>
          <t>CONFIRMED</t>
        </is>
      </c>
      <c r="I67" s="24" t="n">
        <v>50</v>
      </c>
      <c r="J67" s="25" t="inlineStr">
        <is>
          <t>Apply Here</t>
        </is>
      </c>
      <c r="K67" s="26" t="n"/>
      <c r="L67" s="26" t="n"/>
      <c r="M67" s="26" t="inlineStr">
        <is>
          <t>Pending</t>
        </is>
      </c>
      <c r="N67" s="27" t="n"/>
      <c r="O67" s="26" t="n"/>
    </row>
    <row r="68">
      <c r="A68" s="19" t="inlineStr">
        <is>
          <t>3cc76a590309</t>
        </is>
      </c>
      <c r="B68" s="19" t="inlineStr">
        <is>
          <t>15/02/2026</t>
        </is>
      </c>
      <c r="C68" s="19" t="inlineStr">
        <is>
          <t>Drainage Engineer</t>
        </is>
      </c>
      <c r="D68" s="19" t="inlineStr">
        <is>
          <t>CHARTWELL</t>
        </is>
      </c>
      <c r="E68" s="19" t="inlineStr">
        <is>
          <t>Chatham, Kent</t>
        </is>
      </c>
      <c r="F68" s="19" t="inlineStr">
        <is>
          <t>£45,000 – £45,000</t>
        </is>
      </c>
      <c r="G68" s="19" t="inlineStr">
        <is>
          <t>Adzuna UK</t>
        </is>
      </c>
      <c r="H68" s="20" t="inlineStr">
        <is>
          <t>CONFIRMED</t>
        </is>
      </c>
      <c r="I68" s="19" t="n">
        <v>70</v>
      </c>
      <c r="J68" s="21" t="inlineStr">
        <is>
          <t>Apply Here</t>
        </is>
      </c>
      <c r="K68" s="22" t="n"/>
      <c r="L68" s="22" t="n"/>
      <c r="M68" s="22" t="inlineStr">
        <is>
          <t>Pending</t>
        </is>
      </c>
      <c r="N68" s="23" t="n"/>
      <c r="O68" s="22" t="n"/>
    </row>
    <row r="69">
      <c r="A69" s="24" t="inlineStr">
        <is>
          <t>e10f2dece6c9</t>
        </is>
      </c>
      <c r="B69" s="24" t="inlineStr">
        <is>
          <t>15/02/2026</t>
        </is>
      </c>
      <c r="C69" s="24" t="inlineStr">
        <is>
          <t>Drainage Engineer</t>
        </is>
      </c>
      <c r="D69" s="24" t="inlineStr">
        <is>
          <t>Reed</t>
        </is>
      </c>
      <c r="E69" s="24" t="inlineStr">
        <is>
          <t>London, UK</t>
        </is>
      </c>
      <c r="F69" s="24" t="inlineStr">
        <is>
          <t>£40,000 – £50,000</t>
        </is>
      </c>
      <c r="G69" s="24" t="inlineStr">
        <is>
          <t>Adzuna UK</t>
        </is>
      </c>
      <c r="H69" s="20" t="inlineStr">
        <is>
          <t>CONFIRMED</t>
        </is>
      </c>
      <c r="I69" s="24" t="n">
        <v>70</v>
      </c>
      <c r="J69" s="25" t="inlineStr">
        <is>
          <t>Apply Here</t>
        </is>
      </c>
      <c r="K69" s="26" t="n"/>
      <c r="L69" s="26" t="n"/>
      <c r="M69" s="26" t="inlineStr">
        <is>
          <t>Pending</t>
        </is>
      </c>
      <c r="N69" s="27" t="n"/>
      <c r="O69" s="26" t="n"/>
    </row>
    <row r="70">
      <c r="A70" s="19" t="inlineStr">
        <is>
          <t>a53e7816643f</t>
        </is>
      </c>
      <c r="B70" s="19" t="inlineStr">
        <is>
          <t>15/02/2026</t>
        </is>
      </c>
      <c r="C70" s="19" t="inlineStr">
        <is>
          <t>Civil Infrastructure Engineer</t>
        </is>
      </c>
      <c r="D70" s="19" t="inlineStr">
        <is>
          <t>Zodiac Recruitment</t>
        </is>
      </c>
      <c r="E70" s="19" t="inlineStr">
        <is>
          <t>Stone Cross, Crowborough</t>
        </is>
      </c>
      <c r="F70" s="19" t="inlineStr">
        <is>
          <t>£32,000 – £44,000</t>
        </is>
      </c>
      <c r="G70" s="19" t="inlineStr">
        <is>
          <t>Adzuna UK</t>
        </is>
      </c>
      <c r="H70" s="20" t="inlineStr">
        <is>
          <t>CONFIRMED</t>
        </is>
      </c>
      <c r="I70" s="19" t="n">
        <v>70</v>
      </c>
      <c r="J70" s="21" t="inlineStr">
        <is>
          <t>Apply Here</t>
        </is>
      </c>
      <c r="K70" s="22" t="n"/>
      <c r="L70" s="22" t="n"/>
      <c r="M70" s="22" t="inlineStr">
        <is>
          <t>Pending</t>
        </is>
      </c>
      <c r="N70" s="23" t="n"/>
      <c r="O70" s="22" t="n"/>
    </row>
    <row r="71">
      <c r="A71" s="24" t="inlineStr">
        <is>
          <t>5e80718f8434</t>
        </is>
      </c>
      <c r="B71" s="24" t="inlineStr">
        <is>
          <t>15/02/2026</t>
        </is>
      </c>
      <c r="C71" s="24" t="inlineStr">
        <is>
          <t>Drainage Engineer</t>
        </is>
      </c>
      <c r="D71" s="24" t="inlineStr">
        <is>
          <t>Ernest Gordon Recruitment</t>
        </is>
      </c>
      <c r="E71" s="24" t="inlineStr">
        <is>
          <t>South Croydon, South East London</t>
        </is>
      </c>
      <c r="F71" s="24" t="inlineStr">
        <is>
          <t>£45,000 – £45,000</t>
        </is>
      </c>
      <c r="G71" s="24" t="inlineStr">
        <is>
          <t>Adzuna UK</t>
        </is>
      </c>
      <c r="H71" s="20" t="inlineStr">
        <is>
          <t>CONFIRMED</t>
        </is>
      </c>
      <c r="I71" s="24" t="n">
        <v>70</v>
      </c>
      <c r="J71" s="25" t="inlineStr">
        <is>
          <t>Apply Here</t>
        </is>
      </c>
      <c r="K71" s="26" t="n"/>
      <c r="L71" s="26" t="n"/>
      <c r="M71" s="26" t="inlineStr">
        <is>
          <t>Pending</t>
        </is>
      </c>
      <c r="N71" s="27" t="n"/>
      <c r="O71" s="26" t="n"/>
    </row>
    <row r="72">
      <c r="A72" s="19" t="inlineStr">
        <is>
          <t>b2bb64cff677</t>
        </is>
      </c>
      <c r="B72" s="19" t="inlineStr">
        <is>
          <t>15/02/2026</t>
        </is>
      </c>
      <c r="C72" s="19" t="inlineStr">
        <is>
          <t>Drainage Engineer</t>
        </is>
      </c>
      <c r="D72" s="19" t="inlineStr">
        <is>
          <t>Ernest Gordon Recruitment Limited</t>
        </is>
      </c>
      <c r="E72" s="19" t="inlineStr">
        <is>
          <t>South Croydon, South East London</t>
        </is>
      </c>
      <c r="F72" s="19" t="inlineStr">
        <is>
          <t>£35,000 – £45,000</t>
        </is>
      </c>
      <c r="G72" s="19" t="inlineStr">
        <is>
          <t>Adzuna UK</t>
        </is>
      </c>
      <c r="H72" s="20" t="inlineStr">
        <is>
          <t>CONFIRMED</t>
        </is>
      </c>
      <c r="I72" s="19" t="n">
        <v>70</v>
      </c>
      <c r="J72" s="21" t="inlineStr">
        <is>
          <t>Apply Here</t>
        </is>
      </c>
      <c r="K72" s="22" t="n"/>
      <c r="L72" s="22" t="n"/>
      <c r="M72" s="22" t="inlineStr">
        <is>
          <t>Pending</t>
        </is>
      </c>
      <c r="N72" s="23" t="n"/>
      <c r="O72" s="22" t="n"/>
    </row>
    <row r="73">
      <c r="A73" s="24" t="inlineStr">
        <is>
          <t>21e8b262812c</t>
        </is>
      </c>
      <c r="B73" s="24" t="inlineStr">
        <is>
          <t>15/02/2026</t>
        </is>
      </c>
      <c r="C73" s="24" t="inlineStr">
        <is>
          <t>Drainage Engineer</t>
        </is>
      </c>
      <c r="D73" s="24" t="inlineStr">
        <is>
          <t>Ernest Gordon Recruitment Limited</t>
        </is>
      </c>
      <c r="E73" s="24" t="inlineStr">
        <is>
          <t>Croydon, London</t>
        </is>
      </c>
      <c r="F73" s="24" t="inlineStr">
        <is>
          <t>£35,000 – £45,000</t>
        </is>
      </c>
      <c r="G73" s="24" t="inlineStr">
        <is>
          <t>Adzuna UK</t>
        </is>
      </c>
      <c r="H73" s="20" t="inlineStr">
        <is>
          <t>CONFIRMED</t>
        </is>
      </c>
      <c r="I73" s="24" t="n">
        <v>70</v>
      </c>
      <c r="J73" s="25" t="inlineStr">
        <is>
          <t>Apply Here</t>
        </is>
      </c>
      <c r="K73" s="26" t="n"/>
      <c r="L73" s="26" t="n"/>
      <c r="M73" s="26" t="inlineStr">
        <is>
          <t>Pending</t>
        </is>
      </c>
      <c r="N73" s="27" t="n"/>
      <c r="O73" s="26" t="n"/>
    </row>
    <row r="74">
      <c r="A74" s="19" t="inlineStr">
        <is>
          <t>082ff5987df9</t>
        </is>
      </c>
      <c r="B74" s="19" t="inlineStr">
        <is>
          <t>15/02/2026</t>
        </is>
      </c>
      <c r="C74" s="19" t="inlineStr">
        <is>
          <t>Mechanical Design Engineer - Water</t>
        </is>
      </c>
      <c r="D74" s="19" t="inlineStr">
        <is>
          <t>SSA Recruitment</t>
        </is>
      </c>
      <c r="E74" s="19" t="inlineStr">
        <is>
          <t>West Hampstead, North West London</t>
        </is>
      </c>
      <c r="F74" s="19" t="inlineStr">
        <is>
          <t>£55,000 – £65,000</t>
        </is>
      </c>
      <c r="G74" s="19" t="inlineStr">
        <is>
          <t>Adzuna UK</t>
        </is>
      </c>
      <c r="H74" s="20" t="inlineStr">
        <is>
          <t>CONFIRMED</t>
        </is>
      </c>
      <c r="I74" s="19" t="n">
        <v>65</v>
      </c>
      <c r="J74" s="21" t="inlineStr">
        <is>
          <t>Apply Here</t>
        </is>
      </c>
      <c r="K74" s="22" t="n"/>
      <c r="L74" s="22" t="n"/>
      <c r="M74" s="22" t="inlineStr">
        <is>
          <t>Pending</t>
        </is>
      </c>
      <c r="N74" s="23" t="n"/>
      <c r="O74" s="22" t="n"/>
    </row>
    <row r="75">
      <c r="A75" s="24" t="inlineStr">
        <is>
          <t>cfb059c12371</t>
        </is>
      </c>
      <c r="B75" s="24" t="inlineStr">
        <is>
          <t>15/02/2026</t>
        </is>
      </c>
      <c r="C75" s="24" t="inlineStr">
        <is>
          <t>Senior Water Network Engineer/Modellers</t>
        </is>
      </c>
      <c r="D75" s="24" t="inlineStr">
        <is>
          <t>Jacobs</t>
        </is>
      </c>
      <c r="E75" s="24" t="inlineStr">
        <is>
          <t>Reading, Berkshire</t>
        </is>
      </c>
      <c r="F75" s="24" t="inlineStr">
        <is>
          <t>£50,253 – £50,253</t>
        </is>
      </c>
      <c r="G75" s="24" t="inlineStr">
        <is>
          <t>Adzuna UK</t>
        </is>
      </c>
      <c r="H75" s="20" t="inlineStr">
        <is>
          <t>CONFIRMED</t>
        </is>
      </c>
      <c r="I75" s="24" t="n">
        <v>65</v>
      </c>
      <c r="J75" s="25" t="inlineStr">
        <is>
          <t>Apply Here</t>
        </is>
      </c>
      <c r="K75" s="26" t="n"/>
      <c r="L75" s="26" t="n"/>
      <c r="M75" s="26" t="inlineStr">
        <is>
          <t>Pending</t>
        </is>
      </c>
      <c r="N75" s="27" t="n"/>
      <c r="O75" s="26" t="n"/>
    </row>
    <row r="76">
      <c r="A76" s="19" t="inlineStr">
        <is>
          <t>b20a3074d918</t>
        </is>
      </c>
      <c r="B76" s="19" t="inlineStr">
        <is>
          <t>15/02/2026</t>
        </is>
      </c>
      <c r="C76" s="19" t="inlineStr">
        <is>
          <t>Hydraulics Engineers - UK Wide</t>
        </is>
      </c>
      <c r="D76" s="19" t="inlineStr">
        <is>
          <t>Jacobs</t>
        </is>
      </c>
      <c r="E76" s="19" t="inlineStr">
        <is>
          <t>Reading, Berkshire</t>
        </is>
      </c>
      <c r="F76" s="19" t="inlineStr">
        <is>
          <t>£48,252 – £48,252</t>
        </is>
      </c>
      <c r="G76" s="19" t="inlineStr">
        <is>
          <t>Adzuna UK</t>
        </is>
      </c>
      <c r="H76" s="20" t="inlineStr">
        <is>
          <t>CONFIRMED</t>
        </is>
      </c>
      <c r="I76" s="19" t="n">
        <v>65</v>
      </c>
      <c r="J76" s="21" t="inlineStr">
        <is>
          <t>Apply Here</t>
        </is>
      </c>
      <c r="K76" s="22" t="n"/>
      <c r="L76" s="22" t="n"/>
      <c r="M76" s="22" t="inlineStr">
        <is>
          <t>Pending</t>
        </is>
      </c>
      <c r="N76" s="23" t="n"/>
      <c r="O76" s="22" t="n"/>
    </row>
    <row r="77">
      <c r="A77" s="24" t="inlineStr">
        <is>
          <t>8a98b7dd77e0</t>
        </is>
      </c>
      <c r="B77" s="24" t="inlineStr">
        <is>
          <t>15/02/2026</t>
        </is>
      </c>
      <c r="C77" s="24" t="inlineStr">
        <is>
          <t>Hydraulics Engineers - UK Wide</t>
        </is>
      </c>
      <c r="D77" s="24" t="inlineStr">
        <is>
          <t>Jacobs</t>
        </is>
      </c>
      <c r="E77" s="24" t="inlineStr">
        <is>
          <t>London, UK</t>
        </is>
      </c>
      <c r="F77" s="24" t="inlineStr">
        <is>
          <t>£49,369 – £49,369</t>
        </is>
      </c>
      <c r="G77" s="24" t="inlineStr">
        <is>
          <t>Adzuna UK</t>
        </is>
      </c>
      <c r="H77" s="20" t="inlineStr">
        <is>
          <t>CONFIRMED</t>
        </is>
      </c>
      <c r="I77" s="24" t="n">
        <v>65</v>
      </c>
      <c r="J77" s="25" t="inlineStr">
        <is>
          <t>Apply Here</t>
        </is>
      </c>
      <c r="K77" s="26" t="n"/>
      <c r="L77" s="26" t="n"/>
      <c r="M77" s="26" t="inlineStr">
        <is>
          <t>Pending</t>
        </is>
      </c>
      <c r="N77" s="27" t="n"/>
      <c r="O77" s="26" t="n"/>
    </row>
    <row r="78">
      <c r="A78" s="19" t="inlineStr">
        <is>
          <t>7a3589942e7e</t>
        </is>
      </c>
      <c r="B78" s="19" t="inlineStr">
        <is>
          <t>15/02/2026</t>
        </is>
      </c>
      <c r="C78" s="19" t="inlineStr">
        <is>
          <t>Senior Civil Engineer</t>
        </is>
      </c>
      <c r="D78" s="19" t="inlineStr">
        <is>
          <t>Penguin Recruitment</t>
        </is>
      </c>
      <c r="E78" s="19" t="inlineStr">
        <is>
          <t>Denner Hill, Great Missenden</t>
        </is>
      </c>
      <c r="F78" s="19" t="inlineStr">
        <is>
          <t>£38,000 – £60,000</t>
        </is>
      </c>
      <c r="G78" s="19" t="inlineStr">
        <is>
          <t>Adzuna UK</t>
        </is>
      </c>
      <c r="H78" s="20" t="inlineStr">
        <is>
          <t>CONFIRMED</t>
        </is>
      </c>
      <c r="I78" s="19" t="n">
        <v>60</v>
      </c>
      <c r="J78" s="21" t="inlineStr">
        <is>
          <t>Apply Here</t>
        </is>
      </c>
      <c r="K78" s="22" t="n"/>
      <c r="L78" s="22" t="n"/>
      <c r="M78" s="22" t="inlineStr">
        <is>
          <t>Pending</t>
        </is>
      </c>
      <c r="N78" s="23" t="n"/>
      <c r="O78" s="22" t="n"/>
    </row>
    <row r="79">
      <c r="A79" s="24" t="inlineStr">
        <is>
          <t>9aac4a1e70a8</t>
        </is>
      </c>
      <c r="B79" s="24" t="inlineStr">
        <is>
          <t>15/02/2026</t>
        </is>
      </c>
      <c r="C79" s="24" t="inlineStr">
        <is>
          <t>Assistant Quantity Surveyor / Estimator - Civil Engineering</t>
        </is>
      </c>
      <c r="D79" s="24" t="inlineStr">
        <is>
          <t>Henley Chase</t>
        </is>
      </c>
      <c r="E79" s="24" t="inlineStr">
        <is>
          <t>New Haw, Addlestone</t>
        </is>
      </c>
      <c r="F79" s="24" t="inlineStr">
        <is>
          <t>£30,000 – £50,000</t>
        </is>
      </c>
      <c r="G79" s="24" t="inlineStr">
        <is>
          <t>Adzuna UK</t>
        </is>
      </c>
      <c r="H79" s="20" t="inlineStr">
        <is>
          <t>CONFIRMED</t>
        </is>
      </c>
      <c r="I79" s="24" t="n">
        <v>60</v>
      </c>
      <c r="J79" s="25" t="inlineStr">
        <is>
          <t>Apply Here</t>
        </is>
      </c>
      <c r="K79" s="26" t="n"/>
      <c r="L79" s="26" t="n"/>
      <c r="M79" s="26" t="inlineStr">
        <is>
          <t>Pending</t>
        </is>
      </c>
      <c r="N79" s="27" t="n"/>
      <c r="O79" s="26" t="n"/>
    </row>
    <row r="80">
      <c r="A80" s="19" t="inlineStr">
        <is>
          <t>ced6971fdf3b</t>
        </is>
      </c>
      <c r="B80" s="19" t="inlineStr">
        <is>
          <t>15/02/2026</t>
        </is>
      </c>
      <c r="C80" s="19" t="inlineStr">
        <is>
          <t>Junior Quantity Surveyor / Estimator - Civil Engineering</t>
        </is>
      </c>
      <c r="D80" s="19" t="inlineStr">
        <is>
          <t>Henley Chase Limited</t>
        </is>
      </c>
      <c r="E80" s="19" t="inlineStr">
        <is>
          <t>Addlestone, Surrey</t>
        </is>
      </c>
      <c r="F80" s="19" t="inlineStr">
        <is>
          <t>£30,000 – £50,000</t>
        </is>
      </c>
      <c r="G80" s="19" t="inlineStr">
        <is>
          <t>Adzuna UK</t>
        </is>
      </c>
      <c r="H80" s="20" t="inlineStr">
        <is>
          <t>CONFIRMED</t>
        </is>
      </c>
      <c r="I80" s="19" t="n">
        <v>60</v>
      </c>
      <c r="J80" s="21" t="inlineStr">
        <is>
          <t>Apply Here</t>
        </is>
      </c>
      <c r="K80" s="22" t="n"/>
      <c r="L80" s="22" t="n"/>
      <c r="M80" s="22" t="inlineStr">
        <is>
          <t>Pending</t>
        </is>
      </c>
      <c r="N80" s="23" t="n"/>
      <c r="O80" s="22" t="n"/>
    </row>
    <row r="81">
      <c r="A81" s="24" t="inlineStr">
        <is>
          <t>5315e7bcce86</t>
        </is>
      </c>
      <c r="B81" s="24" t="inlineStr">
        <is>
          <t>15/02/2026</t>
        </is>
      </c>
      <c r="C81" s="24" t="inlineStr">
        <is>
          <t>Drainage Design Engineer</t>
        </is>
      </c>
      <c r="D81" s="24" t="inlineStr">
        <is>
          <t>Pave Recruit</t>
        </is>
      </c>
      <c r="E81" s="24" t="inlineStr">
        <is>
          <t>Richmond, West London</t>
        </is>
      </c>
      <c r="F81" s="24" t="inlineStr">
        <is>
          <t>£38,000 – £44,000</t>
        </is>
      </c>
      <c r="G81" s="24" t="inlineStr">
        <is>
          <t>Adzuna UK</t>
        </is>
      </c>
      <c r="H81" s="20" t="inlineStr">
        <is>
          <t>CONFIRMED</t>
        </is>
      </c>
      <c r="I81" s="24" t="n">
        <v>55</v>
      </c>
      <c r="J81" s="25" t="inlineStr">
        <is>
          <t>Apply Here</t>
        </is>
      </c>
      <c r="K81" s="26" t="n"/>
      <c r="L81" s="26" t="n"/>
      <c r="M81" s="26" t="inlineStr">
        <is>
          <t>Pending</t>
        </is>
      </c>
      <c r="N81" s="27" t="n"/>
      <c r="O81" s="26" t="n"/>
    </row>
    <row r="82">
      <c r="A82" s="19" t="inlineStr">
        <is>
          <t>f1fd4eec6034</t>
        </is>
      </c>
      <c r="B82" s="19" t="inlineStr">
        <is>
          <t>15/02/2026</t>
        </is>
      </c>
      <c r="C82" s="19" t="inlineStr">
        <is>
          <t>Assistant Engineer - Clean Water Modelling</t>
        </is>
      </c>
      <c r="D82" s="19" t="inlineStr">
        <is>
          <t>WSP</t>
        </is>
      </c>
      <c r="E82" s="19" t="inlineStr">
        <is>
          <t>Aldwych, Central London</t>
        </is>
      </c>
      <c r="F82" s="19" t="inlineStr">
        <is>
          <t>£45,719 – £45,719</t>
        </is>
      </c>
      <c r="G82" s="19" t="inlineStr">
        <is>
          <t>Adzuna UK</t>
        </is>
      </c>
      <c r="H82" s="20" t="inlineStr">
        <is>
          <t>CONFIRMED</t>
        </is>
      </c>
      <c r="I82" s="19" t="n">
        <v>55</v>
      </c>
      <c r="J82" s="21" t="inlineStr">
        <is>
          <t>Apply Here</t>
        </is>
      </c>
      <c r="K82" s="22" t="n"/>
      <c r="L82" s="22" t="n"/>
      <c r="M82" s="22" t="inlineStr">
        <is>
          <t>Pending</t>
        </is>
      </c>
      <c r="N82" s="23" t="n"/>
      <c r="O82" s="22" t="n"/>
    </row>
    <row r="83">
      <c r="A83" s="24" t="inlineStr">
        <is>
          <t>0281ed9ec1ae</t>
        </is>
      </c>
      <c r="B83" s="24" t="inlineStr">
        <is>
          <t>15/02/2026</t>
        </is>
      </c>
      <c r="C83" s="24" t="inlineStr">
        <is>
          <t>Drainage Design Engineer</t>
        </is>
      </c>
      <c r="D83" s="24" t="inlineStr">
        <is>
          <t>Pave Recruit</t>
        </is>
      </c>
      <c r="E83" s="24" t="inlineStr">
        <is>
          <t>Richmond, West London</t>
        </is>
      </c>
      <c r="F83" s="24" t="inlineStr">
        <is>
          <t>£38,000 – £44,000</t>
        </is>
      </c>
      <c r="G83" s="24" t="inlineStr">
        <is>
          <t>Adzuna UK</t>
        </is>
      </c>
      <c r="H83" s="20" t="inlineStr">
        <is>
          <t>CONFIRMED</t>
        </is>
      </c>
      <c r="I83" s="24" t="n">
        <v>55</v>
      </c>
      <c r="J83" s="25" t="inlineStr">
        <is>
          <t>Apply Here</t>
        </is>
      </c>
      <c r="K83" s="26" t="n"/>
      <c r="L83" s="26" t="n"/>
      <c r="M83" s="26" t="inlineStr">
        <is>
          <t>Pending</t>
        </is>
      </c>
      <c r="N83" s="27" t="n"/>
      <c r="O83" s="26" t="n"/>
    </row>
    <row r="84">
      <c r="A84" s="19" t="inlineStr">
        <is>
          <t>2aa61d5c1bc0</t>
        </is>
      </c>
      <c r="B84" s="19" t="inlineStr">
        <is>
          <t>15/02/2026</t>
        </is>
      </c>
      <c r="C84" s="19" t="inlineStr">
        <is>
          <t>Pollution Response Technician</t>
        </is>
      </c>
      <c r="D84" s="19" t="inlineStr">
        <is>
          <t>Lanes Group</t>
        </is>
      </c>
      <c r="E84" s="19" t="inlineStr">
        <is>
          <t>Tudeley, Tonbridge</t>
        </is>
      </c>
      <c r="F84" s="19" t="inlineStr">
        <is>
          <t>£54,416 – £54,416</t>
        </is>
      </c>
      <c r="G84" s="19" t="inlineStr">
        <is>
          <t>Adzuna UK</t>
        </is>
      </c>
      <c r="H84" s="20" t="inlineStr">
        <is>
          <t>CONFIRMED</t>
        </is>
      </c>
      <c r="I84" s="19" t="n">
        <v>55</v>
      </c>
      <c r="J84" s="21" t="inlineStr">
        <is>
          <t>Apply Here</t>
        </is>
      </c>
      <c r="K84" s="22" t="n"/>
      <c r="L84" s="22" t="n"/>
      <c r="M84" s="22" t="inlineStr">
        <is>
          <t>Pending</t>
        </is>
      </c>
      <c r="N84" s="23" t="n"/>
      <c r="O84" s="22" t="n"/>
    </row>
    <row r="85">
      <c r="A85" s="24" t="inlineStr">
        <is>
          <t>aa3b3fa4f83d</t>
        </is>
      </c>
      <c r="B85" s="24" t="inlineStr">
        <is>
          <t>15/02/2026</t>
        </is>
      </c>
      <c r="C85" s="24" t="inlineStr">
        <is>
          <t>Electrical Project/Design Engineer</t>
        </is>
      </c>
      <c r="D85" s="24" t="inlineStr">
        <is>
          <t>Matchtech</t>
        </is>
      </c>
      <c r="E85" s="24" t="inlineStr">
        <is>
          <t>Farringdon, Central London</t>
        </is>
      </c>
      <c r="F85" s="24" t="inlineStr">
        <is>
          <t>£40,000 – £50,000</t>
        </is>
      </c>
      <c r="G85" s="24" t="inlineStr">
        <is>
          <t>Adzuna UK</t>
        </is>
      </c>
      <c r="H85" s="20" t="inlineStr">
        <is>
          <t>CONFIRMED</t>
        </is>
      </c>
      <c r="I85" s="24" t="n">
        <v>50</v>
      </c>
      <c r="J85" s="25" t="inlineStr">
        <is>
          <t>Apply Here</t>
        </is>
      </c>
      <c r="K85" s="26" t="n"/>
      <c r="L85" s="26" t="n"/>
      <c r="M85" s="26" t="inlineStr">
        <is>
          <t>Pending</t>
        </is>
      </c>
      <c r="N85" s="27" t="n"/>
      <c r="O85" s="26" t="n"/>
    </row>
    <row r="86">
      <c r="A86" s="19" t="inlineStr">
        <is>
          <t>8ea18a6807e9</t>
        </is>
      </c>
      <c r="B86" s="19" t="inlineStr">
        <is>
          <t>15/02/2026</t>
        </is>
      </c>
      <c r="C86" s="19" t="inlineStr">
        <is>
          <t>Civil Engineer (Hybrid)</t>
        </is>
      </c>
      <c r="D86" s="19" t="inlineStr">
        <is>
          <t>Ernest Gordon Recruitment</t>
        </is>
      </c>
      <c r="E86" s="19" t="inlineStr">
        <is>
          <t>Slough, Berkshire</t>
        </is>
      </c>
      <c r="F86" s="19" t="inlineStr">
        <is>
          <t>£55,000 – £55,000</t>
        </is>
      </c>
      <c r="G86" s="19" t="inlineStr">
        <is>
          <t>Adzuna UK</t>
        </is>
      </c>
      <c r="H86" s="20" t="inlineStr">
        <is>
          <t>CONFIRMED</t>
        </is>
      </c>
      <c r="I86" s="19" t="n">
        <v>50</v>
      </c>
      <c r="J86" s="21" t="inlineStr">
        <is>
          <t>Apply Here</t>
        </is>
      </c>
      <c r="K86" s="22" t="n"/>
      <c r="L86" s="22" t="n"/>
      <c r="M86" s="22" t="inlineStr">
        <is>
          <t>Pending</t>
        </is>
      </c>
      <c r="N86" s="23" t="n"/>
      <c r="O86" s="22" t="n"/>
    </row>
    <row r="87">
      <c r="A87" s="24" t="inlineStr">
        <is>
          <t>cdd628fe785b</t>
        </is>
      </c>
      <c r="B87" s="24" t="inlineStr">
        <is>
          <t>15/02/2026</t>
        </is>
      </c>
      <c r="C87" s="24" t="inlineStr">
        <is>
          <t>Civil Engineer Hybrid</t>
        </is>
      </c>
      <c r="D87" s="24" t="inlineStr">
        <is>
          <t>Ernest Gordon Recruitment Limited</t>
        </is>
      </c>
      <c r="E87" s="24" t="inlineStr">
        <is>
          <t>Slough, Berkshire</t>
        </is>
      </c>
      <c r="F87" s="24" t="inlineStr">
        <is>
          <t>£45,000 – £55,000</t>
        </is>
      </c>
      <c r="G87" s="24" t="inlineStr">
        <is>
          <t>Adzuna UK</t>
        </is>
      </c>
      <c r="H87" s="20" t="inlineStr">
        <is>
          <t>CONFIRMED</t>
        </is>
      </c>
      <c r="I87" s="24" t="n">
        <v>50</v>
      </c>
      <c r="J87" s="25" t="inlineStr">
        <is>
          <t>Apply Here</t>
        </is>
      </c>
      <c r="K87" s="26" t="n"/>
      <c r="L87" s="26" t="n"/>
      <c r="M87" s="26" t="inlineStr">
        <is>
          <t>Pending</t>
        </is>
      </c>
      <c r="N87" s="27" t="n"/>
      <c r="O87" s="26" t="n"/>
    </row>
    <row r="88">
      <c r="A88" s="19" t="inlineStr">
        <is>
          <t>02e7c1dc067d</t>
        </is>
      </c>
      <c r="B88" s="19" t="inlineStr">
        <is>
          <t>15/02/2026</t>
        </is>
      </c>
      <c r="C88" s="19" t="inlineStr">
        <is>
          <t>Civil Engineer (Water industry)</t>
        </is>
      </c>
      <c r="D88" s="19" t="inlineStr">
        <is>
          <t>Ernest Gordon Recruitment</t>
        </is>
      </c>
      <c r="E88" s="19" t="inlineStr">
        <is>
          <t>Slough, Berkshire</t>
        </is>
      </c>
      <c r="F88" s="19" t="inlineStr">
        <is>
          <t>£55,000 – £55,000</t>
        </is>
      </c>
      <c r="G88" s="19" t="inlineStr">
        <is>
          <t>Adzuna UK</t>
        </is>
      </c>
      <c r="H88" s="20" t="inlineStr">
        <is>
          <t>CONFIRMED</t>
        </is>
      </c>
      <c r="I88" s="19" t="n">
        <v>50</v>
      </c>
      <c r="J88" s="21" t="inlineStr">
        <is>
          <t>Apply Here</t>
        </is>
      </c>
      <c r="K88" s="22" t="n"/>
      <c r="L88" s="22" t="n"/>
      <c r="M88" s="22" t="inlineStr">
        <is>
          <t>Pending</t>
        </is>
      </c>
      <c r="N88" s="23" t="n"/>
      <c r="O88" s="22" t="n"/>
    </row>
    <row r="89">
      <c r="A89" s="24" t="inlineStr">
        <is>
          <t>cd6504ff076a</t>
        </is>
      </c>
      <c r="B89" s="24" t="inlineStr">
        <is>
          <t>15/02/2026</t>
        </is>
      </c>
      <c r="C89" s="24" t="inlineStr">
        <is>
          <t>Civil Engineer Water industry</t>
        </is>
      </c>
      <c r="D89" s="24" t="inlineStr">
        <is>
          <t>Ernest Gordon Recruitment Limited</t>
        </is>
      </c>
      <c r="E89" s="24" t="inlineStr">
        <is>
          <t>Slough, Berkshire</t>
        </is>
      </c>
      <c r="F89" s="24" t="inlineStr">
        <is>
          <t>£45,000 – £55,000</t>
        </is>
      </c>
      <c r="G89" s="24" t="inlineStr">
        <is>
          <t>Adzuna UK</t>
        </is>
      </c>
      <c r="H89" s="20" t="inlineStr">
        <is>
          <t>CONFIRMED</t>
        </is>
      </c>
      <c r="I89" s="24" t="n">
        <v>50</v>
      </c>
      <c r="J89" s="25" t="inlineStr">
        <is>
          <t>Apply Here</t>
        </is>
      </c>
      <c r="K89" s="26" t="n"/>
      <c r="L89" s="26" t="n"/>
      <c r="M89" s="26" t="inlineStr">
        <is>
          <t>Pending</t>
        </is>
      </c>
      <c r="N89" s="27" t="n"/>
      <c r="O89" s="26" t="n"/>
    </row>
    <row r="90">
      <c r="A90" s="19" t="inlineStr">
        <is>
          <t>ad5a339f93f7</t>
        </is>
      </c>
      <c r="B90" s="19" t="inlineStr">
        <is>
          <t>16/02/2026</t>
        </is>
      </c>
      <c r="C90" s="19" t="inlineStr">
        <is>
          <t>Drainage Engineer</t>
        </is>
      </c>
      <c r="D90" s="19" t="inlineStr">
        <is>
          <t>CHARTWELL</t>
        </is>
      </c>
      <c r="E90" s="19" t="inlineStr">
        <is>
          <t>Chatham, Kent</t>
        </is>
      </c>
      <c r="F90" s="19" t="inlineStr">
        <is>
          <t>£45,000 – £45,000</t>
        </is>
      </c>
      <c r="G90" s="19" t="inlineStr">
        <is>
          <t>Adzuna UK</t>
        </is>
      </c>
      <c r="H90" s="20" t="inlineStr">
        <is>
          <t>CONFIRMED</t>
        </is>
      </c>
      <c r="I90" s="19" t="n">
        <v>70</v>
      </c>
      <c r="J90" s="21" t="inlineStr">
        <is>
          <t>Apply Here</t>
        </is>
      </c>
      <c r="K90" s="22" t="n"/>
      <c r="L90" s="22" t="n"/>
      <c r="M90" s="22" t="inlineStr">
        <is>
          <t>Pending</t>
        </is>
      </c>
      <c r="N90" s="23" t="n"/>
      <c r="O90" s="22" t="n"/>
    </row>
    <row r="91">
      <c r="A91" s="24" t="inlineStr">
        <is>
          <t>b7233cf19e6c</t>
        </is>
      </c>
      <c r="B91" s="24" t="inlineStr">
        <is>
          <t>16/02/2026</t>
        </is>
      </c>
      <c r="C91" s="24" t="inlineStr">
        <is>
          <t>Drainage Engineer</t>
        </is>
      </c>
      <c r="D91" s="24" t="inlineStr">
        <is>
          <t>Reed</t>
        </is>
      </c>
      <c r="E91" s="24" t="inlineStr">
        <is>
          <t>London, UK</t>
        </is>
      </c>
      <c r="F91" s="24" t="inlineStr">
        <is>
          <t>£40,000 – £50,000</t>
        </is>
      </c>
      <c r="G91" s="24" t="inlineStr">
        <is>
          <t>Adzuna UK</t>
        </is>
      </c>
      <c r="H91" s="20" t="inlineStr">
        <is>
          <t>CONFIRMED</t>
        </is>
      </c>
      <c r="I91" s="24" t="n">
        <v>70</v>
      </c>
      <c r="J91" s="25" t="inlineStr">
        <is>
          <t>Apply Here</t>
        </is>
      </c>
      <c r="K91" s="26" t="n"/>
      <c r="L91" s="26" t="n"/>
      <c r="M91" s="26" t="inlineStr">
        <is>
          <t>Pending</t>
        </is>
      </c>
      <c r="N91" s="27" t="n"/>
      <c r="O91" s="26" t="n"/>
    </row>
    <row r="92">
      <c r="A92" s="19" t="inlineStr">
        <is>
          <t>67be42e395a2</t>
        </is>
      </c>
      <c r="B92" s="19" t="inlineStr">
        <is>
          <t>16/02/2026</t>
        </is>
      </c>
      <c r="C92" s="19" t="inlineStr">
        <is>
          <t>Civil Infrastructure Engineer</t>
        </is>
      </c>
      <c r="D92" s="19" t="inlineStr">
        <is>
          <t>Zodiac Recruitment</t>
        </is>
      </c>
      <c r="E92" s="19" t="inlineStr">
        <is>
          <t>Stone Cross, Crowborough</t>
        </is>
      </c>
      <c r="F92" s="19" t="inlineStr">
        <is>
          <t>£32,000 – £44,000</t>
        </is>
      </c>
      <c r="G92" s="19" t="inlineStr">
        <is>
          <t>Adzuna UK</t>
        </is>
      </c>
      <c r="H92" s="20" t="inlineStr">
        <is>
          <t>CONFIRMED</t>
        </is>
      </c>
      <c r="I92" s="19" t="n">
        <v>70</v>
      </c>
      <c r="J92" s="21" t="inlineStr">
        <is>
          <t>Apply Here</t>
        </is>
      </c>
      <c r="K92" s="22" t="n"/>
      <c r="L92" s="22" t="n"/>
      <c r="M92" s="22" t="inlineStr">
        <is>
          <t>Pending</t>
        </is>
      </c>
      <c r="N92" s="23" t="n"/>
      <c r="O92" s="22" t="n"/>
    </row>
    <row r="93">
      <c r="A93" s="24" t="inlineStr">
        <is>
          <t>8afc2cf8a5a5</t>
        </is>
      </c>
      <c r="B93" s="24" t="inlineStr">
        <is>
          <t>16/02/2026</t>
        </is>
      </c>
      <c r="C93" s="24" t="inlineStr">
        <is>
          <t>Drainage Engineer</t>
        </is>
      </c>
      <c r="D93" s="24" t="inlineStr">
        <is>
          <t>Ernest Gordon Recruitment</t>
        </is>
      </c>
      <c r="E93" s="24" t="inlineStr">
        <is>
          <t>South Croydon, South East London</t>
        </is>
      </c>
      <c r="F93" s="24" t="inlineStr">
        <is>
          <t>£45,000 – £45,000</t>
        </is>
      </c>
      <c r="G93" s="24" t="inlineStr">
        <is>
          <t>Adzuna UK</t>
        </is>
      </c>
      <c r="H93" s="20" t="inlineStr">
        <is>
          <t>CONFIRMED</t>
        </is>
      </c>
      <c r="I93" s="24" t="n">
        <v>70</v>
      </c>
      <c r="J93" s="25" t="inlineStr">
        <is>
          <t>Apply Here</t>
        </is>
      </c>
      <c r="K93" s="26" t="n"/>
      <c r="L93" s="26" t="n"/>
      <c r="M93" s="26" t="inlineStr">
        <is>
          <t>Pending</t>
        </is>
      </c>
      <c r="N93" s="27" t="n"/>
      <c r="O93" s="26" t="n"/>
    </row>
    <row r="94">
      <c r="A94" s="19" t="inlineStr">
        <is>
          <t>f24c3027be66</t>
        </is>
      </c>
      <c r="B94" s="19" t="inlineStr">
        <is>
          <t>16/02/2026</t>
        </is>
      </c>
      <c r="C94" s="19" t="inlineStr">
        <is>
          <t>Drainage Engineer</t>
        </is>
      </c>
      <c r="D94" s="19" t="inlineStr">
        <is>
          <t>Ernest Gordon Recruitment Limited</t>
        </is>
      </c>
      <c r="E94" s="19" t="inlineStr">
        <is>
          <t>South Croydon, South East London</t>
        </is>
      </c>
      <c r="F94" s="19" t="inlineStr">
        <is>
          <t>£35,000 – £45,000</t>
        </is>
      </c>
      <c r="G94" s="19" t="inlineStr">
        <is>
          <t>Adzuna UK</t>
        </is>
      </c>
      <c r="H94" s="20" t="inlineStr">
        <is>
          <t>CONFIRMED</t>
        </is>
      </c>
      <c r="I94" s="19" t="n">
        <v>70</v>
      </c>
      <c r="J94" s="21" t="inlineStr">
        <is>
          <t>Apply Here</t>
        </is>
      </c>
      <c r="K94" s="22" t="n"/>
      <c r="L94" s="22" t="n"/>
      <c r="M94" s="22" t="inlineStr">
        <is>
          <t>Pending</t>
        </is>
      </c>
      <c r="N94" s="23" t="n"/>
      <c r="O94" s="22" t="n"/>
    </row>
    <row r="95">
      <c r="A95" s="24" t="inlineStr">
        <is>
          <t>e3872cb11a63</t>
        </is>
      </c>
      <c r="B95" s="24" t="inlineStr">
        <is>
          <t>16/02/2026</t>
        </is>
      </c>
      <c r="C95" s="24" t="inlineStr">
        <is>
          <t>Drainage Engineer</t>
        </is>
      </c>
      <c r="D95" s="24" t="inlineStr">
        <is>
          <t>Ernest Gordon Recruitment Limited</t>
        </is>
      </c>
      <c r="E95" s="24" t="inlineStr">
        <is>
          <t>Croydon, London</t>
        </is>
      </c>
      <c r="F95" s="24" t="inlineStr">
        <is>
          <t>£35,000 – £45,000</t>
        </is>
      </c>
      <c r="G95" s="24" t="inlineStr">
        <is>
          <t>Adzuna UK</t>
        </is>
      </c>
      <c r="H95" s="20" t="inlineStr">
        <is>
          <t>CONFIRMED</t>
        </is>
      </c>
      <c r="I95" s="24" t="n">
        <v>70</v>
      </c>
      <c r="J95" s="25" t="inlineStr">
        <is>
          <t>Apply Here</t>
        </is>
      </c>
      <c r="K95" s="26" t="n"/>
      <c r="L95" s="26" t="n"/>
      <c r="M95" s="26" t="inlineStr">
        <is>
          <t>Pending</t>
        </is>
      </c>
      <c r="N95" s="27" t="n"/>
      <c r="O95" s="26" t="n"/>
    </row>
    <row r="96">
      <c r="A96" s="19" t="inlineStr">
        <is>
          <t>cee3639a2310</t>
        </is>
      </c>
      <c r="B96" s="19" t="inlineStr">
        <is>
          <t>16/02/2026</t>
        </is>
      </c>
      <c r="C96" s="19" t="inlineStr">
        <is>
          <t>Plumber</t>
        </is>
      </c>
      <c r="D96" s="19" t="inlineStr">
        <is>
          <t>Wates</t>
        </is>
      </c>
      <c r="E96" s="19" t="inlineStr">
        <is>
          <t>Tinsley Green, Crawley</t>
        </is>
      </c>
      <c r="F96" s="19" t="inlineStr">
        <is>
          <t>£43,202 – £43,202</t>
        </is>
      </c>
      <c r="G96" s="19" t="inlineStr">
        <is>
          <t>Adzuna UK</t>
        </is>
      </c>
      <c r="H96" s="20" t="inlineStr">
        <is>
          <t>CONFIRMED</t>
        </is>
      </c>
      <c r="I96" s="19" t="n">
        <v>70</v>
      </c>
      <c r="J96" s="21" t="inlineStr">
        <is>
          <t>Apply Here</t>
        </is>
      </c>
      <c r="K96" s="22" t="n"/>
      <c r="L96" s="22" t="n"/>
      <c r="M96" s="22" t="inlineStr">
        <is>
          <t>Pending</t>
        </is>
      </c>
      <c r="N96" s="23" t="n"/>
      <c r="O96" s="22" t="n"/>
    </row>
    <row r="97">
      <c r="A97" s="24" t="inlineStr">
        <is>
          <t>70e9cf198ebd</t>
        </is>
      </c>
      <c r="B97" s="24" t="inlineStr">
        <is>
          <t>16/02/2026</t>
        </is>
      </c>
      <c r="C97" s="24" t="inlineStr">
        <is>
          <t>Mechanical Design Engineer - Water</t>
        </is>
      </c>
      <c r="D97" s="24" t="inlineStr">
        <is>
          <t>SSA Recruitment</t>
        </is>
      </c>
      <c r="E97" s="24" t="inlineStr">
        <is>
          <t>West Hampstead, North West London</t>
        </is>
      </c>
      <c r="F97" s="24" t="inlineStr">
        <is>
          <t>£55,000 – £65,000</t>
        </is>
      </c>
      <c r="G97" s="24" t="inlineStr">
        <is>
          <t>Adzuna UK</t>
        </is>
      </c>
      <c r="H97" s="20" t="inlineStr">
        <is>
          <t>CONFIRMED</t>
        </is>
      </c>
      <c r="I97" s="24" t="n">
        <v>65</v>
      </c>
      <c r="J97" s="25" t="inlineStr">
        <is>
          <t>Apply Here</t>
        </is>
      </c>
      <c r="K97" s="26" t="n"/>
      <c r="L97" s="26" t="n"/>
      <c r="M97" s="26" t="inlineStr">
        <is>
          <t>Pending</t>
        </is>
      </c>
      <c r="N97" s="27" t="n"/>
      <c r="O97" s="26" t="n"/>
    </row>
    <row r="98">
      <c r="A98" s="19" t="inlineStr">
        <is>
          <t>9f7de7bf8307</t>
        </is>
      </c>
      <c r="B98" s="19" t="inlineStr">
        <is>
          <t>16/02/2026</t>
        </is>
      </c>
      <c r="C98" s="19" t="inlineStr">
        <is>
          <t>Senior Water Network Engineer/Modellers</t>
        </is>
      </c>
      <c r="D98" s="19" t="inlineStr">
        <is>
          <t>Jacobs</t>
        </is>
      </c>
      <c r="E98" s="19" t="inlineStr">
        <is>
          <t>Reading, Berkshire</t>
        </is>
      </c>
      <c r="F98" s="19" t="inlineStr">
        <is>
          <t>£50,253 – £50,253</t>
        </is>
      </c>
      <c r="G98" s="19" t="inlineStr">
        <is>
          <t>Adzuna UK</t>
        </is>
      </c>
      <c r="H98" s="20" t="inlineStr">
        <is>
          <t>CONFIRMED</t>
        </is>
      </c>
      <c r="I98" s="19" t="n">
        <v>65</v>
      </c>
      <c r="J98" s="21" t="inlineStr">
        <is>
          <t>Apply Here</t>
        </is>
      </c>
      <c r="K98" s="22" t="n"/>
      <c r="L98" s="22" t="n"/>
      <c r="M98" s="22" t="inlineStr">
        <is>
          <t>Pending</t>
        </is>
      </c>
      <c r="N98" s="23" t="n"/>
      <c r="O98" s="22" t="n"/>
    </row>
    <row r="99">
      <c r="A99" s="24" t="inlineStr">
        <is>
          <t>2005366f198b</t>
        </is>
      </c>
      <c r="B99" s="24" t="inlineStr">
        <is>
          <t>16/02/2026</t>
        </is>
      </c>
      <c r="C99" s="24" t="inlineStr">
        <is>
          <t>Hydraulics Engineers - UK Wide</t>
        </is>
      </c>
      <c r="D99" s="24" t="inlineStr">
        <is>
          <t>Jacobs</t>
        </is>
      </c>
      <c r="E99" s="24" t="inlineStr">
        <is>
          <t>Reading, Berkshire</t>
        </is>
      </c>
      <c r="F99" s="24" t="inlineStr">
        <is>
          <t>£48,252 – £48,252</t>
        </is>
      </c>
      <c r="G99" s="24" t="inlineStr">
        <is>
          <t>Adzuna UK</t>
        </is>
      </c>
      <c r="H99" s="20" t="inlineStr">
        <is>
          <t>CONFIRMED</t>
        </is>
      </c>
      <c r="I99" s="24" t="n">
        <v>65</v>
      </c>
      <c r="J99" s="25" t="inlineStr">
        <is>
          <t>Apply Here</t>
        </is>
      </c>
      <c r="K99" s="26" t="n"/>
      <c r="L99" s="26" t="n"/>
      <c r="M99" s="26" t="inlineStr">
        <is>
          <t>Pending</t>
        </is>
      </c>
      <c r="N99" s="27" t="n"/>
      <c r="O99" s="26" t="n"/>
    </row>
    <row r="100">
      <c r="A100" s="19" t="inlineStr">
        <is>
          <t>b73c48b099c2</t>
        </is>
      </c>
      <c r="B100" s="19" t="inlineStr">
        <is>
          <t>16/02/2026</t>
        </is>
      </c>
      <c r="C100" s="19" t="inlineStr">
        <is>
          <t>Hydraulics Engineers - UK Wide</t>
        </is>
      </c>
      <c r="D100" s="19" t="inlineStr">
        <is>
          <t>Jacobs</t>
        </is>
      </c>
      <c r="E100" s="19" t="inlineStr">
        <is>
          <t>London, UK</t>
        </is>
      </c>
      <c r="F100" s="19" t="inlineStr">
        <is>
          <t>£49,369 – £49,369</t>
        </is>
      </c>
      <c r="G100" s="19" t="inlineStr">
        <is>
          <t>Adzuna UK</t>
        </is>
      </c>
      <c r="H100" s="20" t="inlineStr">
        <is>
          <t>CONFIRMED</t>
        </is>
      </c>
      <c r="I100" s="19" t="n">
        <v>65</v>
      </c>
      <c r="J100" s="21" t="inlineStr">
        <is>
          <t>Apply Here</t>
        </is>
      </c>
      <c r="K100" s="22" t="n"/>
      <c r="L100" s="22" t="n"/>
      <c r="M100" s="22" t="inlineStr">
        <is>
          <t>Pending</t>
        </is>
      </c>
      <c r="N100" s="23" t="n"/>
      <c r="O100" s="22" t="n"/>
    </row>
    <row r="101">
      <c r="A101" s="24" t="inlineStr">
        <is>
          <t>284c1ac9fbb7</t>
        </is>
      </c>
      <c r="B101" s="24" t="inlineStr">
        <is>
          <t>16/02/2026</t>
        </is>
      </c>
      <c r="C101" s="24" t="inlineStr">
        <is>
          <t>Senior Civil Engineer</t>
        </is>
      </c>
      <c r="D101" s="24" t="inlineStr">
        <is>
          <t>Penguin Recruitment</t>
        </is>
      </c>
      <c r="E101" s="24" t="inlineStr">
        <is>
          <t>Denner Hill, Great Missenden</t>
        </is>
      </c>
      <c r="F101" s="24" t="inlineStr">
        <is>
          <t>£38,000 – £60,000</t>
        </is>
      </c>
      <c r="G101" s="24" t="inlineStr">
        <is>
          <t>Adzuna UK</t>
        </is>
      </c>
      <c r="H101" s="20" t="inlineStr">
        <is>
          <t>CONFIRMED</t>
        </is>
      </c>
      <c r="I101" s="24" t="n">
        <v>60</v>
      </c>
      <c r="J101" s="25" t="inlineStr">
        <is>
          <t>Apply Here</t>
        </is>
      </c>
      <c r="K101" s="26" t="n"/>
      <c r="L101" s="26" t="n"/>
      <c r="M101" s="26" t="inlineStr">
        <is>
          <t>Pending</t>
        </is>
      </c>
      <c r="N101" s="27" t="n"/>
      <c r="O101" s="26" t="n"/>
    </row>
    <row r="102">
      <c r="A102" s="19" t="inlineStr">
        <is>
          <t>8a1f7ea66b12</t>
        </is>
      </c>
      <c r="B102" s="19" t="inlineStr">
        <is>
          <t>16/02/2026</t>
        </is>
      </c>
      <c r="C102" s="19" t="inlineStr">
        <is>
          <t>Assistant Quantity Surveyor / Estimator - Civil Engineering</t>
        </is>
      </c>
      <c r="D102" s="19" t="inlineStr">
        <is>
          <t>Henley Chase</t>
        </is>
      </c>
      <c r="E102" s="19" t="inlineStr">
        <is>
          <t>New Haw, Addlestone</t>
        </is>
      </c>
      <c r="F102" s="19" t="inlineStr">
        <is>
          <t>£30,000 – £50,000</t>
        </is>
      </c>
      <c r="G102" s="19" t="inlineStr">
        <is>
          <t>Adzuna UK</t>
        </is>
      </c>
      <c r="H102" s="20" t="inlineStr">
        <is>
          <t>CONFIRMED</t>
        </is>
      </c>
      <c r="I102" s="19" t="n">
        <v>60</v>
      </c>
      <c r="J102" s="21" t="inlineStr">
        <is>
          <t>Apply Here</t>
        </is>
      </c>
      <c r="K102" s="22" t="n"/>
      <c r="L102" s="22" t="n"/>
      <c r="M102" s="22" t="inlineStr">
        <is>
          <t>Pending</t>
        </is>
      </c>
      <c r="N102" s="23" t="n"/>
      <c r="O102" s="22" t="n"/>
    </row>
    <row r="103">
      <c r="A103" s="24" t="inlineStr">
        <is>
          <t>5cbdcd0ea87e</t>
        </is>
      </c>
      <c r="B103" s="24" t="inlineStr">
        <is>
          <t>16/02/2026</t>
        </is>
      </c>
      <c r="C103" s="24" t="inlineStr">
        <is>
          <t>Junior Quantity Surveyor / Estimator - Civil Engineering</t>
        </is>
      </c>
      <c r="D103" s="24" t="inlineStr">
        <is>
          <t>Henley Chase Limited</t>
        </is>
      </c>
      <c r="E103" s="24" t="inlineStr">
        <is>
          <t>Addlestone, Surrey</t>
        </is>
      </c>
      <c r="F103" s="24" t="inlineStr">
        <is>
          <t>£30,000 – £50,000</t>
        </is>
      </c>
      <c r="G103" s="24" t="inlineStr">
        <is>
          <t>Adzuna UK</t>
        </is>
      </c>
      <c r="H103" s="20" t="inlineStr">
        <is>
          <t>CONFIRMED</t>
        </is>
      </c>
      <c r="I103" s="24" t="n">
        <v>60</v>
      </c>
      <c r="J103" s="25" t="inlineStr">
        <is>
          <t>Apply Here</t>
        </is>
      </c>
      <c r="K103" s="26" t="n"/>
      <c r="L103" s="26" t="n"/>
      <c r="M103" s="26" t="inlineStr">
        <is>
          <t>Pending</t>
        </is>
      </c>
      <c r="N103" s="27" t="n"/>
      <c r="O103" s="26" t="n"/>
    </row>
    <row r="104">
      <c r="A104" s="19" t="inlineStr">
        <is>
          <t>93f6bd8d7c80</t>
        </is>
      </c>
      <c r="B104" s="19" t="inlineStr">
        <is>
          <t>16/02/2026</t>
        </is>
      </c>
      <c r="C104" s="19" t="inlineStr">
        <is>
          <t>Senior Engineer - Flood Risk &amp; Drainage</t>
        </is>
      </c>
      <c r="D104" s="19" t="inlineStr">
        <is>
          <t>Aztrum</t>
        </is>
      </c>
      <c r="E104" s="19" t="inlineStr">
        <is>
          <t>Ash Vale, Aldershot</t>
        </is>
      </c>
      <c r="F104" s="19" t="inlineStr">
        <is>
          <t>£45,000 – £55,000</t>
        </is>
      </c>
      <c r="G104" s="19" t="inlineStr">
        <is>
          <t>Adzuna UK</t>
        </is>
      </c>
      <c r="H104" s="20" t="inlineStr">
        <is>
          <t>CONFIRMED</t>
        </is>
      </c>
      <c r="I104" s="19" t="n">
        <v>60</v>
      </c>
      <c r="J104" s="21" t="inlineStr">
        <is>
          <t>Apply Here</t>
        </is>
      </c>
      <c r="K104" s="22" t="n"/>
      <c r="L104" s="22" t="n"/>
      <c r="M104" s="22" t="inlineStr">
        <is>
          <t>Pending</t>
        </is>
      </c>
      <c r="N104" s="23" t="n"/>
      <c r="O104" s="22" t="n"/>
    </row>
    <row r="105">
      <c r="A105" s="24" t="inlineStr">
        <is>
          <t>10fdb449a05f</t>
        </is>
      </c>
      <c r="B105" s="24" t="inlineStr">
        <is>
          <t>16/02/2026</t>
        </is>
      </c>
      <c r="C105" s="24" t="inlineStr">
        <is>
          <t>Drainage Design Engineer</t>
        </is>
      </c>
      <c r="D105" s="24" t="inlineStr">
        <is>
          <t>Pave Recruit</t>
        </is>
      </c>
      <c r="E105" s="24" t="inlineStr">
        <is>
          <t>Richmond, West London</t>
        </is>
      </c>
      <c r="F105" s="24" t="inlineStr">
        <is>
          <t>£38,000 – £44,000</t>
        </is>
      </c>
      <c r="G105" s="24" t="inlineStr">
        <is>
          <t>Adzuna UK</t>
        </is>
      </c>
      <c r="H105" s="20" t="inlineStr">
        <is>
          <t>CONFIRMED</t>
        </is>
      </c>
      <c r="I105" s="24" t="n">
        <v>55</v>
      </c>
      <c r="J105" s="25" t="inlineStr">
        <is>
          <t>Apply Here</t>
        </is>
      </c>
      <c r="K105" s="26" t="n"/>
      <c r="L105" s="26" t="n"/>
      <c r="M105" s="26" t="inlineStr">
        <is>
          <t>Pending</t>
        </is>
      </c>
      <c r="N105" s="27" t="n"/>
      <c r="O105" s="26" t="n"/>
    </row>
    <row r="106">
      <c r="A106" s="19" t="inlineStr">
        <is>
          <t>53fc0d9a30f8</t>
        </is>
      </c>
      <c r="B106" s="19" t="inlineStr">
        <is>
          <t>16/02/2026</t>
        </is>
      </c>
      <c r="C106" s="19" t="inlineStr">
        <is>
          <t>Assistant Engineer - Clean Water Modelling</t>
        </is>
      </c>
      <c r="D106" s="19" t="inlineStr">
        <is>
          <t>WSP</t>
        </is>
      </c>
      <c r="E106" s="19" t="inlineStr">
        <is>
          <t>Aldwych, Central London</t>
        </is>
      </c>
      <c r="F106" s="19" t="inlineStr">
        <is>
          <t>£45,719 – £45,719</t>
        </is>
      </c>
      <c r="G106" s="19" t="inlineStr">
        <is>
          <t>Adzuna UK</t>
        </is>
      </c>
      <c r="H106" s="20" t="inlineStr">
        <is>
          <t>CONFIRMED</t>
        </is>
      </c>
      <c r="I106" s="19" t="n">
        <v>55</v>
      </c>
      <c r="J106" s="21" t="inlineStr">
        <is>
          <t>Apply Here</t>
        </is>
      </c>
      <c r="K106" s="22" t="n"/>
      <c r="L106" s="22" t="n"/>
      <c r="M106" s="22" t="inlineStr">
        <is>
          <t>Pending</t>
        </is>
      </c>
      <c r="N106" s="23" t="n"/>
      <c r="O106" s="22" t="n"/>
    </row>
    <row r="107">
      <c r="A107" s="24" t="inlineStr">
        <is>
          <t>1315d3fe67d9</t>
        </is>
      </c>
      <c r="B107" s="24" t="inlineStr">
        <is>
          <t>16/02/2026</t>
        </is>
      </c>
      <c r="C107" s="24" t="inlineStr">
        <is>
          <t>Drainage Design Engineer</t>
        </is>
      </c>
      <c r="D107" s="24" t="inlineStr">
        <is>
          <t>Pave Recruit</t>
        </is>
      </c>
      <c r="E107" s="24" t="inlineStr">
        <is>
          <t>Richmond, West London</t>
        </is>
      </c>
      <c r="F107" s="24" t="inlineStr">
        <is>
          <t>£38,000 – £44,000</t>
        </is>
      </c>
      <c r="G107" s="24" t="inlineStr">
        <is>
          <t>Adzuna UK</t>
        </is>
      </c>
      <c r="H107" s="20" t="inlineStr">
        <is>
          <t>CONFIRMED</t>
        </is>
      </c>
      <c r="I107" s="24" t="n">
        <v>55</v>
      </c>
      <c r="J107" s="25" t="inlineStr">
        <is>
          <t>Apply Here</t>
        </is>
      </c>
      <c r="K107" s="26" t="n"/>
      <c r="L107" s="26" t="n"/>
      <c r="M107" s="26" t="inlineStr">
        <is>
          <t>Pending</t>
        </is>
      </c>
      <c r="N107" s="27" t="n"/>
      <c r="O107" s="26" t="n"/>
    </row>
    <row r="108">
      <c r="A108" s="19" t="inlineStr">
        <is>
          <t>47c380e6fcde</t>
        </is>
      </c>
      <c r="B108" s="19" t="inlineStr">
        <is>
          <t>16/02/2026</t>
        </is>
      </c>
      <c r="C108" s="19" t="inlineStr">
        <is>
          <t>Pollution Response Technician</t>
        </is>
      </c>
      <c r="D108" s="19" t="inlineStr">
        <is>
          <t>Lanes Group</t>
        </is>
      </c>
      <c r="E108" s="19" t="inlineStr">
        <is>
          <t>Tudeley, Tonbridge</t>
        </is>
      </c>
      <c r="F108" s="19" t="inlineStr">
        <is>
          <t>£54,416 – £54,416</t>
        </is>
      </c>
      <c r="G108" s="19" t="inlineStr">
        <is>
          <t>Adzuna UK</t>
        </is>
      </c>
      <c r="H108" s="20" t="inlineStr">
        <is>
          <t>CONFIRMED</t>
        </is>
      </c>
      <c r="I108" s="19" t="n">
        <v>55</v>
      </c>
      <c r="J108" s="21" t="inlineStr">
        <is>
          <t>Apply Here</t>
        </is>
      </c>
      <c r="K108" s="22" t="n"/>
      <c r="L108" s="22" t="n"/>
      <c r="M108" s="22" t="inlineStr">
        <is>
          <t>Pending</t>
        </is>
      </c>
      <c r="N108" s="23" t="n"/>
      <c r="O108" s="22" t="n"/>
    </row>
    <row r="109">
      <c r="A109" s="24" t="inlineStr">
        <is>
          <t>7a727b1cff91</t>
        </is>
      </c>
      <c r="B109" s="24" t="inlineStr">
        <is>
          <t>16/02/2026</t>
        </is>
      </c>
      <c r="C109" s="24" t="inlineStr">
        <is>
          <t>Electrical Project/Design Engineer</t>
        </is>
      </c>
      <c r="D109" s="24" t="inlineStr">
        <is>
          <t>Matchtech</t>
        </is>
      </c>
      <c r="E109" s="24" t="inlineStr">
        <is>
          <t>Farringdon, Central London</t>
        </is>
      </c>
      <c r="F109" s="24" t="inlineStr">
        <is>
          <t>£40,000 – £50,000</t>
        </is>
      </c>
      <c r="G109" s="24" t="inlineStr">
        <is>
          <t>Adzuna UK</t>
        </is>
      </c>
      <c r="H109" s="20" t="inlineStr">
        <is>
          <t>CONFIRMED</t>
        </is>
      </c>
      <c r="I109" s="24" t="n">
        <v>50</v>
      </c>
      <c r="J109" s="25" t="inlineStr">
        <is>
          <t>Apply Here</t>
        </is>
      </c>
      <c r="K109" s="26" t="n"/>
      <c r="L109" s="26" t="n"/>
      <c r="M109" s="26" t="inlineStr">
        <is>
          <t>Pending</t>
        </is>
      </c>
      <c r="N109" s="27" t="n"/>
      <c r="O109" s="26" t="n"/>
    </row>
    <row r="110">
      <c r="A110" s="19" t="inlineStr">
        <is>
          <t>0021ab6a5949</t>
        </is>
      </c>
      <c r="B110" s="19" t="inlineStr">
        <is>
          <t>16/02/2026</t>
        </is>
      </c>
      <c r="C110" s="19" t="inlineStr">
        <is>
          <t>Civil Engineer (Hybrid)</t>
        </is>
      </c>
      <c r="D110" s="19" t="inlineStr">
        <is>
          <t>Ernest Gordon Recruitment</t>
        </is>
      </c>
      <c r="E110" s="19" t="inlineStr">
        <is>
          <t>Slough, Berkshire</t>
        </is>
      </c>
      <c r="F110" s="19" t="inlineStr">
        <is>
          <t>£55,000 – £55,000</t>
        </is>
      </c>
      <c r="G110" s="19" t="inlineStr">
        <is>
          <t>Adzuna UK</t>
        </is>
      </c>
      <c r="H110" s="20" t="inlineStr">
        <is>
          <t>CONFIRMED</t>
        </is>
      </c>
      <c r="I110" s="19" t="n">
        <v>50</v>
      </c>
      <c r="J110" s="21" t="inlineStr">
        <is>
          <t>Apply Here</t>
        </is>
      </c>
      <c r="K110" s="22" t="n"/>
      <c r="L110" s="22" t="n"/>
      <c r="M110" s="22" t="inlineStr">
        <is>
          <t>Pending</t>
        </is>
      </c>
      <c r="N110" s="23" t="n"/>
      <c r="O110" s="22" t="n"/>
    </row>
    <row r="111">
      <c r="A111" s="24" t="inlineStr">
        <is>
          <t>b8512fa7ac5c</t>
        </is>
      </c>
      <c r="B111" s="24" t="inlineStr">
        <is>
          <t>16/02/2026</t>
        </is>
      </c>
      <c r="C111" s="24" t="inlineStr">
        <is>
          <t>Civil Engineer Hybrid</t>
        </is>
      </c>
      <c r="D111" s="24" t="inlineStr">
        <is>
          <t>Ernest Gordon Recruitment Limited</t>
        </is>
      </c>
      <c r="E111" s="24" t="inlineStr">
        <is>
          <t>Slough, Berkshire</t>
        </is>
      </c>
      <c r="F111" s="24" t="inlineStr">
        <is>
          <t>£45,000 – £55,000</t>
        </is>
      </c>
      <c r="G111" s="24" t="inlineStr">
        <is>
          <t>Adzuna UK</t>
        </is>
      </c>
      <c r="H111" s="20" t="inlineStr">
        <is>
          <t>CONFIRMED</t>
        </is>
      </c>
      <c r="I111" s="24" t="n">
        <v>50</v>
      </c>
      <c r="J111" s="25" t="inlineStr">
        <is>
          <t>Apply Here</t>
        </is>
      </c>
      <c r="K111" s="26" t="n"/>
      <c r="L111" s="26" t="n"/>
      <c r="M111" s="26" t="inlineStr">
        <is>
          <t>Pending</t>
        </is>
      </c>
      <c r="N111" s="27" t="n"/>
      <c r="O111" s="26" t="n"/>
    </row>
    <row r="112">
      <c r="A112" s="19" t="inlineStr">
        <is>
          <t>fbf044dd1647</t>
        </is>
      </c>
      <c r="B112" s="19" t="inlineStr">
        <is>
          <t>16/02/2026</t>
        </is>
      </c>
      <c r="C112" s="19" t="inlineStr">
        <is>
          <t>Civil Engineer (Water industry)</t>
        </is>
      </c>
      <c r="D112" s="19" t="inlineStr">
        <is>
          <t>Ernest Gordon Recruitment</t>
        </is>
      </c>
      <c r="E112" s="19" t="inlineStr">
        <is>
          <t>Slough, Berkshire</t>
        </is>
      </c>
      <c r="F112" s="19" t="inlineStr">
        <is>
          <t>£55,000 – £55,000</t>
        </is>
      </c>
      <c r="G112" s="19" t="inlineStr">
        <is>
          <t>Adzuna UK</t>
        </is>
      </c>
      <c r="H112" s="20" t="inlineStr">
        <is>
          <t>CONFIRMED</t>
        </is>
      </c>
      <c r="I112" s="19" t="n">
        <v>50</v>
      </c>
      <c r="J112" s="21" t="inlineStr">
        <is>
          <t>Apply Here</t>
        </is>
      </c>
      <c r="K112" s="22" t="n"/>
      <c r="L112" s="22" t="n"/>
      <c r="M112" s="22" t="inlineStr">
        <is>
          <t>Pending</t>
        </is>
      </c>
      <c r="N112" s="23" t="n"/>
      <c r="O112" s="22" t="n"/>
    </row>
    <row r="113">
      <c r="A113" s="24" t="inlineStr">
        <is>
          <t>bb57f4bf2197</t>
        </is>
      </c>
      <c r="B113" s="24" t="inlineStr">
        <is>
          <t>16/02/2026</t>
        </is>
      </c>
      <c r="C113" s="24" t="inlineStr">
        <is>
          <t>Civil Engineer Water industry</t>
        </is>
      </c>
      <c r="D113" s="24" t="inlineStr">
        <is>
          <t>Ernest Gordon Recruitment Limited</t>
        </is>
      </c>
      <c r="E113" s="24" t="inlineStr">
        <is>
          <t>Slough, Berkshire</t>
        </is>
      </c>
      <c r="F113" s="24" t="inlineStr">
        <is>
          <t>£45,000 – £55,000</t>
        </is>
      </c>
      <c r="G113" s="24" t="inlineStr">
        <is>
          <t>Adzuna UK</t>
        </is>
      </c>
      <c r="H113" s="20" t="inlineStr">
        <is>
          <t>CONFIRMED</t>
        </is>
      </c>
      <c r="I113" s="24" t="n">
        <v>50</v>
      </c>
      <c r="J113" s="25" t="inlineStr">
        <is>
          <t>Apply Here</t>
        </is>
      </c>
      <c r="K113" s="26" t="n"/>
      <c r="L113" s="26" t="n"/>
      <c r="M113" s="26" t="inlineStr">
        <is>
          <t>Pending</t>
        </is>
      </c>
      <c r="N113" s="27" t="n"/>
      <c r="O113" s="26" t="n"/>
    </row>
    <row r="114">
      <c r="A114" s="19" t="inlineStr">
        <is>
          <t>965ea0b9704e</t>
        </is>
      </c>
      <c r="B114" s="19" t="inlineStr">
        <is>
          <t>16/02/2026</t>
        </is>
      </c>
      <c r="C114" s="19" t="inlineStr">
        <is>
          <t>Civil Engineer (Water industry)</t>
        </is>
      </c>
      <c r="D114" s="19" t="inlineStr">
        <is>
          <t>Ernest Gordon Recruitment Limited</t>
        </is>
      </c>
      <c r="E114" s="19" t="inlineStr">
        <is>
          <t>Chalvey, Slough</t>
        </is>
      </c>
      <c r="F114" s="19" t="inlineStr">
        <is>
          <t>£45,000 – £55,000</t>
        </is>
      </c>
      <c r="G114" s="19" t="inlineStr">
        <is>
          <t>Adzuna UK</t>
        </is>
      </c>
      <c r="H114" s="20" t="inlineStr">
        <is>
          <t>CONFIRMED</t>
        </is>
      </c>
      <c r="I114" s="19" t="n">
        <v>50</v>
      </c>
      <c r="J114" s="21" t="inlineStr">
        <is>
          <t>Apply Here</t>
        </is>
      </c>
      <c r="K114" s="22" t="n"/>
      <c r="L114" s="22" t="n"/>
      <c r="M114" s="22" t="inlineStr">
        <is>
          <t>Pending</t>
        </is>
      </c>
      <c r="N114" s="23" t="n"/>
      <c r="O114" s="22" t="n"/>
    </row>
    <row r="115">
      <c r="A115" s="24" t="inlineStr">
        <is>
          <t>3f8c59e3dff3</t>
        </is>
      </c>
      <c r="B115" s="24" t="inlineStr">
        <is>
          <t>16/02/2026</t>
        </is>
      </c>
      <c r="C115" s="24" t="inlineStr">
        <is>
          <t>Senior/Lead, Account Solution Engineer</t>
        </is>
      </c>
      <c r="D115" s="24" t="inlineStr">
        <is>
          <t>Salesforce</t>
        </is>
      </c>
      <c r="E115" s="24" t="inlineStr">
        <is>
          <t>London, UK</t>
        </is>
      </c>
      <c r="F115" s="24" t="inlineStr">
        <is>
          <t>£49,917 – £49,917</t>
        </is>
      </c>
      <c r="G115" s="24" t="inlineStr">
        <is>
          <t>Adzuna UK</t>
        </is>
      </c>
      <c r="H115" s="20" t="inlineStr">
        <is>
          <t>CONFIRMED</t>
        </is>
      </c>
      <c r="I115" s="24" t="n">
        <v>50</v>
      </c>
      <c r="J115" s="25" t="inlineStr">
        <is>
          <t>Apply Here</t>
        </is>
      </c>
      <c r="K115" s="26" t="n"/>
      <c r="L115" s="26" t="n"/>
      <c r="M115" s="26" t="inlineStr">
        <is>
          <t>Pending</t>
        </is>
      </c>
      <c r="N115" s="27" t="n"/>
      <c r="O115" s="26" t="n"/>
    </row>
    <row r="116">
      <c r="A116" s="19" t="inlineStr">
        <is>
          <t>97fb0cac3cb8</t>
        </is>
      </c>
      <c r="B116" s="19" t="inlineStr">
        <is>
          <t>17/02/2026</t>
        </is>
      </c>
      <c r="C116" s="19" t="inlineStr">
        <is>
          <t>Plumber</t>
        </is>
      </c>
      <c r="D116" s="19" t="inlineStr">
        <is>
          <t>WATES PROPERTY SERVICES LIMITED</t>
        </is>
      </c>
      <c r="E116" s="19" t="inlineStr">
        <is>
          <t>Crawley, West Sussex</t>
        </is>
      </c>
      <c r="F116" s="19" t="inlineStr">
        <is>
          <t>£50,654 – £50,654</t>
        </is>
      </c>
      <c r="G116" s="19" t="inlineStr">
        <is>
          <t>Adzuna UK</t>
        </is>
      </c>
      <c r="H116" s="20" t="inlineStr">
        <is>
          <t>CONFIRMED</t>
        </is>
      </c>
      <c r="I116" s="19" t="n">
        <v>70</v>
      </c>
      <c r="J116" s="21" t="inlineStr">
        <is>
          <t>Apply Here</t>
        </is>
      </c>
      <c r="K116" s="22" t="n"/>
      <c r="L116" s="22" t="n"/>
      <c r="M116" s="22" t="inlineStr">
        <is>
          <t>Pending</t>
        </is>
      </c>
      <c r="N116" s="23" t="n"/>
      <c r="O116" s="22" t="n"/>
    </row>
    <row r="117">
      <c r="A117" s="24" t="inlineStr">
        <is>
          <t>b9b64834547f</t>
        </is>
      </c>
      <c r="B117" s="24" t="inlineStr">
        <is>
          <t>17/02/2026</t>
        </is>
      </c>
      <c r="C117" s="24" t="inlineStr">
        <is>
          <t>Drainage Engineer</t>
        </is>
      </c>
      <c r="D117" s="24" t="inlineStr">
        <is>
          <t>CHARTWELL</t>
        </is>
      </c>
      <c r="E117" s="24" t="inlineStr">
        <is>
          <t>Chatham, Kent</t>
        </is>
      </c>
      <c r="F117" s="24" t="inlineStr">
        <is>
          <t>£45,000 – £45,000</t>
        </is>
      </c>
      <c r="G117" s="24" t="inlineStr">
        <is>
          <t>Adzuna UK</t>
        </is>
      </c>
      <c r="H117" s="20" t="inlineStr">
        <is>
          <t>CONFIRMED</t>
        </is>
      </c>
      <c r="I117" s="24" t="n">
        <v>70</v>
      </c>
      <c r="J117" s="25" t="inlineStr">
        <is>
          <t>Apply Here</t>
        </is>
      </c>
      <c r="K117" s="26" t="n"/>
      <c r="L117" s="26" t="n"/>
      <c r="M117" s="26" t="inlineStr">
        <is>
          <t>Pending</t>
        </is>
      </c>
      <c r="N117" s="27" t="n"/>
      <c r="O117" s="26" t="n"/>
    </row>
    <row r="118">
      <c r="A118" s="19" t="inlineStr">
        <is>
          <t>46d1b6a1751d</t>
        </is>
      </c>
      <c r="B118" s="19" t="inlineStr">
        <is>
          <t>17/02/2026</t>
        </is>
      </c>
      <c r="C118" s="19" t="inlineStr">
        <is>
          <t>Drainage Engineer</t>
        </is>
      </c>
      <c r="D118" s="19" t="inlineStr">
        <is>
          <t>Reed</t>
        </is>
      </c>
      <c r="E118" s="19" t="inlineStr">
        <is>
          <t>London, UK</t>
        </is>
      </c>
      <c r="F118" s="19" t="inlineStr">
        <is>
          <t>£40,000 – £50,000</t>
        </is>
      </c>
      <c r="G118" s="19" t="inlineStr">
        <is>
          <t>Adzuna UK</t>
        </is>
      </c>
      <c r="H118" s="20" t="inlineStr">
        <is>
          <t>CONFIRMED</t>
        </is>
      </c>
      <c r="I118" s="19" t="n">
        <v>70</v>
      </c>
      <c r="J118" s="21" t="inlineStr">
        <is>
          <t>Apply Here</t>
        </is>
      </c>
      <c r="K118" s="22" t="n"/>
      <c r="L118" s="22" t="n"/>
      <c r="M118" s="22" t="inlineStr">
        <is>
          <t>Pending</t>
        </is>
      </c>
      <c r="N118" s="23" t="n"/>
      <c r="O118" s="22" t="n"/>
    </row>
    <row r="119">
      <c r="A119" s="24" t="inlineStr">
        <is>
          <t>f52ec3519bf7</t>
        </is>
      </c>
      <c r="B119" s="24" t="inlineStr">
        <is>
          <t>17/02/2026</t>
        </is>
      </c>
      <c r="C119" s="24" t="inlineStr">
        <is>
          <t>Civil Infrastructure Engineer</t>
        </is>
      </c>
      <c r="D119" s="24" t="inlineStr">
        <is>
          <t>Zodiac Recruitment</t>
        </is>
      </c>
      <c r="E119" s="24" t="inlineStr">
        <is>
          <t>Stone Cross, Crowborough</t>
        </is>
      </c>
      <c r="F119" s="24" t="inlineStr">
        <is>
          <t>£32,000 – £44,000</t>
        </is>
      </c>
      <c r="G119" s="24" t="inlineStr">
        <is>
          <t>Adzuna UK</t>
        </is>
      </c>
      <c r="H119" s="20" t="inlineStr">
        <is>
          <t>CONFIRMED</t>
        </is>
      </c>
      <c r="I119" s="24" t="n">
        <v>70</v>
      </c>
      <c r="J119" s="25" t="inlineStr">
        <is>
          <t>Apply Here</t>
        </is>
      </c>
      <c r="K119" s="26" t="n"/>
      <c r="L119" s="26" t="n"/>
      <c r="M119" s="26" t="inlineStr">
        <is>
          <t>Pending</t>
        </is>
      </c>
      <c r="N119" s="27" t="n"/>
      <c r="O119" s="26" t="n"/>
    </row>
    <row r="120">
      <c r="A120" s="19" t="inlineStr">
        <is>
          <t>acfc93e16d1a</t>
        </is>
      </c>
      <c r="B120" s="19" t="inlineStr">
        <is>
          <t>17/02/2026</t>
        </is>
      </c>
      <c r="C120" s="19" t="inlineStr">
        <is>
          <t>Drainage Engineer</t>
        </is>
      </c>
      <c r="D120" s="19" t="inlineStr">
        <is>
          <t>Ernest Gordon Recruitment</t>
        </is>
      </c>
      <c r="E120" s="19" t="inlineStr">
        <is>
          <t>South Croydon, South East London</t>
        </is>
      </c>
      <c r="F120" s="19" t="inlineStr">
        <is>
          <t>£45,000 – £45,000</t>
        </is>
      </c>
      <c r="G120" s="19" t="inlineStr">
        <is>
          <t>Adzuna UK</t>
        </is>
      </c>
      <c r="H120" s="20" t="inlineStr">
        <is>
          <t>CONFIRMED</t>
        </is>
      </c>
      <c r="I120" s="19" t="n">
        <v>70</v>
      </c>
      <c r="J120" s="21" t="inlineStr">
        <is>
          <t>Apply Here</t>
        </is>
      </c>
      <c r="K120" s="22" t="n"/>
      <c r="L120" s="22" t="n"/>
      <c r="M120" s="22" t="inlineStr">
        <is>
          <t>Pending</t>
        </is>
      </c>
      <c r="N120" s="23" t="n"/>
      <c r="O120" s="22" t="n"/>
    </row>
    <row r="121">
      <c r="A121" s="24" t="inlineStr">
        <is>
          <t>315d35cd83ca</t>
        </is>
      </c>
      <c r="B121" s="24" t="inlineStr">
        <is>
          <t>17/02/2026</t>
        </is>
      </c>
      <c r="C121" s="24" t="inlineStr">
        <is>
          <t>Drainage Engineer</t>
        </is>
      </c>
      <c r="D121" s="24" t="inlineStr">
        <is>
          <t>Ernest Gordon Recruitment Limited</t>
        </is>
      </c>
      <c r="E121" s="24" t="inlineStr">
        <is>
          <t>South Croydon, South East London</t>
        </is>
      </c>
      <c r="F121" s="24" t="inlineStr">
        <is>
          <t>£35,000 – £45,000</t>
        </is>
      </c>
      <c r="G121" s="24" t="inlineStr">
        <is>
          <t>Adzuna UK</t>
        </is>
      </c>
      <c r="H121" s="20" t="inlineStr">
        <is>
          <t>CONFIRMED</t>
        </is>
      </c>
      <c r="I121" s="24" t="n">
        <v>70</v>
      </c>
      <c r="J121" s="25" t="inlineStr">
        <is>
          <t>Apply Here</t>
        </is>
      </c>
      <c r="K121" s="26" t="n"/>
      <c r="L121" s="26" t="n"/>
      <c r="M121" s="26" t="inlineStr">
        <is>
          <t>Pending</t>
        </is>
      </c>
      <c r="N121" s="27" t="n"/>
      <c r="O121" s="26" t="n"/>
    </row>
    <row r="122">
      <c r="A122" s="19" t="inlineStr">
        <is>
          <t>799cef8b927f</t>
        </is>
      </c>
      <c r="B122" s="19" t="inlineStr">
        <is>
          <t>17/02/2026</t>
        </is>
      </c>
      <c r="C122" s="19" t="inlineStr">
        <is>
          <t>Drainage Engineer</t>
        </is>
      </c>
      <c r="D122" s="19" t="inlineStr">
        <is>
          <t>Ernest Gordon Recruitment Limited</t>
        </is>
      </c>
      <c r="E122" s="19" t="inlineStr">
        <is>
          <t>Croydon, London</t>
        </is>
      </c>
      <c r="F122" s="19" t="inlineStr">
        <is>
          <t>£35,000 – £45,000</t>
        </is>
      </c>
      <c r="G122" s="19" t="inlineStr">
        <is>
          <t>Adzuna UK</t>
        </is>
      </c>
      <c r="H122" s="20" t="inlineStr">
        <is>
          <t>CONFIRMED</t>
        </is>
      </c>
      <c r="I122" s="19" t="n">
        <v>70</v>
      </c>
      <c r="J122" s="21" t="inlineStr">
        <is>
          <t>Apply Here</t>
        </is>
      </c>
      <c r="K122" s="22" t="n"/>
      <c r="L122" s="22" t="n"/>
      <c r="M122" s="22" t="inlineStr">
        <is>
          <t>Pending</t>
        </is>
      </c>
      <c r="N122" s="23" t="n"/>
      <c r="O122" s="22" t="n"/>
    </row>
    <row r="123">
      <c r="A123" s="24" t="inlineStr">
        <is>
          <t>6f949fe2ea72</t>
        </is>
      </c>
      <c r="B123" s="24" t="inlineStr">
        <is>
          <t>17/02/2026</t>
        </is>
      </c>
      <c r="C123" s="24" t="inlineStr">
        <is>
          <t>Mechanical Design Engineer - Water</t>
        </is>
      </c>
      <c r="D123" s="24" t="inlineStr">
        <is>
          <t>SSA Recruitment</t>
        </is>
      </c>
      <c r="E123" s="24" t="inlineStr">
        <is>
          <t>West Hampstead, North West London</t>
        </is>
      </c>
      <c r="F123" s="24" t="inlineStr">
        <is>
          <t>£55,000 – £65,000</t>
        </is>
      </c>
      <c r="G123" s="24" t="inlineStr">
        <is>
          <t>Adzuna UK</t>
        </is>
      </c>
      <c r="H123" s="20" t="inlineStr">
        <is>
          <t>CONFIRMED</t>
        </is>
      </c>
      <c r="I123" s="24" t="n">
        <v>65</v>
      </c>
      <c r="J123" s="25" t="inlineStr">
        <is>
          <t>Apply Here</t>
        </is>
      </c>
      <c r="K123" s="26" t="n"/>
      <c r="L123" s="26" t="n"/>
      <c r="M123" s="26" t="inlineStr">
        <is>
          <t>Pending</t>
        </is>
      </c>
      <c r="N123" s="27" t="n"/>
      <c r="O123" s="26" t="n"/>
    </row>
    <row r="124">
      <c r="A124" s="19" t="inlineStr">
        <is>
          <t>2093b8c37eec</t>
        </is>
      </c>
      <c r="B124" s="19" t="inlineStr">
        <is>
          <t>17/02/2026</t>
        </is>
      </c>
      <c r="C124" s="19" t="inlineStr">
        <is>
          <t>Senior Water Network Engineer/Modellers</t>
        </is>
      </c>
      <c r="D124" s="19" t="inlineStr">
        <is>
          <t>Jacobs</t>
        </is>
      </c>
      <c r="E124" s="19" t="inlineStr">
        <is>
          <t>Reading, Berkshire</t>
        </is>
      </c>
      <c r="F124" s="19" t="inlineStr">
        <is>
          <t>£50,253 – £50,253</t>
        </is>
      </c>
      <c r="G124" s="19" t="inlineStr">
        <is>
          <t>Adzuna UK</t>
        </is>
      </c>
      <c r="H124" s="20" t="inlineStr">
        <is>
          <t>CONFIRMED</t>
        </is>
      </c>
      <c r="I124" s="19" t="n">
        <v>65</v>
      </c>
      <c r="J124" s="21" t="inlineStr">
        <is>
          <t>Apply Here</t>
        </is>
      </c>
      <c r="K124" s="22" t="n"/>
      <c r="L124" s="22" t="n"/>
      <c r="M124" s="22" t="inlineStr">
        <is>
          <t>Pending</t>
        </is>
      </c>
      <c r="N124" s="23" t="n"/>
      <c r="O124" s="22" t="n"/>
    </row>
    <row r="125">
      <c r="A125" s="24" t="inlineStr">
        <is>
          <t>76cce1012360</t>
        </is>
      </c>
      <c r="B125" s="24" t="inlineStr">
        <is>
          <t>17/02/2026</t>
        </is>
      </c>
      <c r="C125" s="24" t="inlineStr">
        <is>
          <t>Hydraulics Engineers - UK Wide</t>
        </is>
      </c>
      <c r="D125" s="24" t="inlineStr">
        <is>
          <t>Jacobs</t>
        </is>
      </c>
      <c r="E125" s="24" t="inlineStr">
        <is>
          <t>Reading, Berkshire</t>
        </is>
      </c>
      <c r="F125" s="24" t="inlineStr">
        <is>
          <t>£48,252 – £48,252</t>
        </is>
      </c>
      <c r="G125" s="24" t="inlineStr">
        <is>
          <t>Adzuna UK</t>
        </is>
      </c>
      <c r="H125" s="20" t="inlineStr">
        <is>
          <t>CONFIRMED</t>
        </is>
      </c>
      <c r="I125" s="24" t="n">
        <v>65</v>
      </c>
      <c r="J125" s="25" t="inlineStr">
        <is>
          <t>Apply Here</t>
        </is>
      </c>
      <c r="K125" s="26" t="n"/>
      <c r="L125" s="26" t="n"/>
      <c r="M125" s="26" t="inlineStr">
        <is>
          <t>Pending</t>
        </is>
      </c>
      <c r="N125" s="27" t="n"/>
      <c r="O125" s="26" t="n"/>
    </row>
    <row r="126">
      <c r="A126" s="19" t="inlineStr">
        <is>
          <t>6289d8f3b250</t>
        </is>
      </c>
      <c r="B126" s="19" t="inlineStr">
        <is>
          <t>17/02/2026</t>
        </is>
      </c>
      <c r="C126" s="19" t="inlineStr">
        <is>
          <t>Hydraulics Engineers - UK Wide</t>
        </is>
      </c>
      <c r="D126" s="19" t="inlineStr">
        <is>
          <t>Jacobs</t>
        </is>
      </c>
      <c r="E126" s="19" t="inlineStr">
        <is>
          <t>London, UK</t>
        </is>
      </c>
      <c r="F126" s="19" t="inlineStr">
        <is>
          <t>£49,369 – £49,369</t>
        </is>
      </c>
      <c r="G126" s="19" t="inlineStr">
        <is>
          <t>Adzuna UK</t>
        </is>
      </c>
      <c r="H126" s="20" t="inlineStr">
        <is>
          <t>CONFIRMED</t>
        </is>
      </c>
      <c r="I126" s="19" t="n">
        <v>65</v>
      </c>
      <c r="J126" s="21" t="inlineStr">
        <is>
          <t>Apply Here</t>
        </is>
      </c>
      <c r="K126" s="22" t="n"/>
      <c r="L126" s="22" t="n"/>
      <c r="M126" s="22" t="inlineStr">
        <is>
          <t>Pending</t>
        </is>
      </c>
      <c r="N126" s="23" t="n"/>
      <c r="O126" s="22" t="n"/>
    </row>
    <row r="127">
      <c r="A127" s="24" t="inlineStr">
        <is>
          <t>bb06f938059b</t>
        </is>
      </c>
      <c r="B127" s="24" t="inlineStr">
        <is>
          <t>17/02/2026</t>
        </is>
      </c>
      <c r="C127" s="24" t="inlineStr">
        <is>
          <t>Senior Civil Engineer</t>
        </is>
      </c>
      <c r="D127" s="24" t="inlineStr">
        <is>
          <t>Penguin Recruitment</t>
        </is>
      </c>
      <c r="E127" s="24" t="inlineStr">
        <is>
          <t>Denner Hill, Great Missenden</t>
        </is>
      </c>
      <c r="F127" s="24" t="inlineStr">
        <is>
          <t>£38,000 – £60,000</t>
        </is>
      </c>
      <c r="G127" s="24" t="inlineStr">
        <is>
          <t>Adzuna UK</t>
        </is>
      </c>
      <c r="H127" s="20" t="inlineStr">
        <is>
          <t>CONFIRMED</t>
        </is>
      </c>
      <c r="I127" s="24" t="n">
        <v>60</v>
      </c>
      <c r="J127" s="25" t="inlineStr">
        <is>
          <t>Apply Here</t>
        </is>
      </c>
      <c r="K127" s="26" t="n"/>
      <c r="L127" s="26" t="n"/>
      <c r="M127" s="26" t="inlineStr">
        <is>
          <t>Pending</t>
        </is>
      </c>
      <c r="N127" s="27" t="n"/>
      <c r="O127" s="26" t="n"/>
    </row>
    <row r="128">
      <c r="A128" s="19" t="inlineStr">
        <is>
          <t>a20577b8c191</t>
        </is>
      </c>
      <c r="B128" s="19" t="inlineStr">
        <is>
          <t>17/02/2026</t>
        </is>
      </c>
      <c r="C128" s="19" t="inlineStr">
        <is>
          <t>Assistant Quantity Surveyor / Estimator - Civil Engineering</t>
        </is>
      </c>
      <c r="D128" s="19" t="inlineStr">
        <is>
          <t>Henley Chase</t>
        </is>
      </c>
      <c r="E128" s="19" t="inlineStr">
        <is>
          <t>New Haw, Addlestone</t>
        </is>
      </c>
      <c r="F128" s="19" t="inlineStr">
        <is>
          <t>£30,000 – £50,000</t>
        </is>
      </c>
      <c r="G128" s="19" t="inlineStr">
        <is>
          <t>Adzuna UK</t>
        </is>
      </c>
      <c r="H128" s="20" t="inlineStr">
        <is>
          <t>CONFIRMED</t>
        </is>
      </c>
      <c r="I128" s="19" t="n">
        <v>60</v>
      </c>
      <c r="J128" s="21" t="inlineStr">
        <is>
          <t>Apply Here</t>
        </is>
      </c>
      <c r="K128" s="22" t="n"/>
      <c r="L128" s="22" t="n"/>
      <c r="M128" s="22" t="inlineStr">
        <is>
          <t>Pending</t>
        </is>
      </c>
      <c r="N128" s="23" t="n"/>
      <c r="O128" s="22" t="n"/>
    </row>
    <row r="129">
      <c r="A129" s="24" t="inlineStr">
        <is>
          <t>d0a0ea2d4f2b</t>
        </is>
      </c>
      <c r="B129" s="24" t="inlineStr">
        <is>
          <t>17/02/2026</t>
        </is>
      </c>
      <c r="C129" s="24" t="inlineStr">
        <is>
          <t>Junior Quantity Surveyor / Estimator - Civil Engineering</t>
        </is>
      </c>
      <c r="D129" s="24" t="inlineStr">
        <is>
          <t>Henley Chase Limited</t>
        </is>
      </c>
      <c r="E129" s="24" t="inlineStr">
        <is>
          <t>Addlestone, Surrey</t>
        </is>
      </c>
      <c r="F129" s="24" t="inlineStr">
        <is>
          <t>£30,000 – £50,000</t>
        </is>
      </c>
      <c r="G129" s="24" t="inlineStr">
        <is>
          <t>Adzuna UK</t>
        </is>
      </c>
      <c r="H129" s="20" t="inlineStr">
        <is>
          <t>CONFIRMED</t>
        </is>
      </c>
      <c r="I129" s="24" t="n">
        <v>60</v>
      </c>
      <c r="J129" s="25" t="inlineStr">
        <is>
          <t>Apply Here</t>
        </is>
      </c>
      <c r="K129" s="26" t="n"/>
      <c r="L129" s="26" t="n"/>
      <c r="M129" s="26" t="inlineStr">
        <is>
          <t>Pending</t>
        </is>
      </c>
      <c r="N129" s="27" t="n"/>
      <c r="O129" s="26" t="n"/>
    </row>
    <row r="130">
      <c r="A130" s="19" t="inlineStr">
        <is>
          <t>f73131fd7fab</t>
        </is>
      </c>
      <c r="B130" s="19" t="inlineStr">
        <is>
          <t>17/02/2026</t>
        </is>
      </c>
      <c r="C130" s="19" t="inlineStr">
        <is>
          <t>Drainage Design Engineer</t>
        </is>
      </c>
      <c r="D130" s="19" t="inlineStr">
        <is>
          <t>Pave Recruit</t>
        </is>
      </c>
      <c r="E130" s="19" t="inlineStr">
        <is>
          <t>Richmond, West London</t>
        </is>
      </c>
      <c r="F130" s="19" t="inlineStr">
        <is>
          <t>£38,000 – £44,000</t>
        </is>
      </c>
      <c r="G130" s="19" t="inlineStr">
        <is>
          <t>Adzuna UK</t>
        </is>
      </c>
      <c r="H130" s="20" t="inlineStr">
        <is>
          <t>CONFIRMED</t>
        </is>
      </c>
      <c r="I130" s="19" t="n">
        <v>55</v>
      </c>
      <c r="J130" s="21" t="inlineStr">
        <is>
          <t>Apply Here</t>
        </is>
      </c>
      <c r="K130" s="22" t="n"/>
      <c r="L130" s="22" t="n"/>
      <c r="M130" s="22" t="inlineStr">
        <is>
          <t>Pending</t>
        </is>
      </c>
      <c r="N130" s="23" t="n"/>
      <c r="O130" s="22" t="n"/>
    </row>
    <row r="131">
      <c r="A131" s="24" t="inlineStr">
        <is>
          <t>2147ca886766</t>
        </is>
      </c>
      <c r="B131" s="24" t="inlineStr">
        <is>
          <t>17/02/2026</t>
        </is>
      </c>
      <c r="C131" s="24" t="inlineStr">
        <is>
          <t>Assistant Engineer - Clean Water Modelling</t>
        </is>
      </c>
      <c r="D131" s="24" t="inlineStr">
        <is>
          <t>WSP</t>
        </is>
      </c>
      <c r="E131" s="24" t="inlineStr">
        <is>
          <t>Aldwych, Central London</t>
        </is>
      </c>
      <c r="F131" s="24" t="inlineStr">
        <is>
          <t>£45,719 – £45,719</t>
        </is>
      </c>
      <c r="G131" s="24" t="inlineStr">
        <is>
          <t>Adzuna UK</t>
        </is>
      </c>
      <c r="H131" s="20" t="inlineStr">
        <is>
          <t>CONFIRMED</t>
        </is>
      </c>
      <c r="I131" s="24" t="n">
        <v>55</v>
      </c>
      <c r="J131" s="25" t="inlineStr">
        <is>
          <t>Apply Here</t>
        </is>
      </c>
      <c r="K131" s="26" t="n"/>
      <c r="L131" s="26" t="n"/>
      <c r="M131" s="26" t="inlineStr">
        <is>
          <t>Pending</t>
        </is>
      </c>
      <c r="N131" s="27" t="n"/>
      <c r="O131" s="26" t="n"/>
    </row>
    <row r="132">
      <c r="A132" s="19" t="inlineStr">
        <is>
          <t>c047ce542799</t>
        </is>
      </c>
      <c r="B132" s="19" t="inlineStr">
        <is>
          <t>17/02/2026</t>
        </is>
      </c>
      <c r="C132" s="19" t="inlineStr">
        <is>
          <t>HGV Class 2 Tanker Driver – Drainage</t>
        </is>
      </c>
      <c r="D132" s="19" t="inlineStr">
        <is>
          <t>Excellis Consultancy</t>
        </is>
      </c>
      <c r="E132" s="19" t="inlineStr">
        <is>
          <t>Riverhead, Sevenoaks</t>
        </is>
      </c>
      <c r="F132" s="19" t="inlineStr">
        <is>
          <t>£45,000 – £48,000</t>
        </is>
      </c>
      <c r="G132" s="19" t="inlineStr">
        <is>
          <t>Adzuna UK</t>
        </is>
      </c>
      <c r="H132" s="20" t="inlineStr">
        <is>
          <t>CONFIRMED</t>
        </is>
      </c>
      <c r="I132" s="19" t="n">
        <v>55</v>
      </c>
      <c r="J132" s="21" t="inlineStr">
        <is>
          <t>Apply Here</t>
        </is>
      </c>
      <c r="K132" s="22" t="n"/>
      <c r="L132" s="22" t="n"/>
      <c r="M132" s="22" t="inlineStr">
        <is>
          <t>Pending</t>
        </is>
      </c>
      <c r="N132" s="23" t="n"/>
      <c r="O132" s="22" t="n"/>
    </row>
    <row r="133">
      <c r="A133" s="24" t="inlineStr">
        <is>
          <t>ecedc8c6c270</t>
        </is>
      </c>
      <c r="B133" s="24" t="inlineStr">
        <is>
          <t>17/02/2026</t>
        </is>
      </c>
      <c r="C133" s="24" t="inlineStr">
        <is>
          <t>Drainage Design Engineer</t>
        </is>
      </c>
      <c r="D133" s="24" t="inlineStr">
        <is>
          <t>Pave Recruit</t>
        </is>
      </c>
      <c r="E133" s="24" t="inlineStr">
        <is>
          <t>Richmond, West London</t>
        </is>
      </c>
      <c r="F133" s="24" t="inlineStr">
        <is>
          <t>£38,000 – £44,000</t>
        </is>
      </c>
      <c r="G133" s="24" t="inlineStr">
        <is>
          <t>Adzuna UK</t>
        </is>
      </c>
      <c r="H133" s="20" t="inlineStr">
        <is>
          <t>CONFIRMED</t>
        </is>
      </c>
      <c r="I133" s="24" t="n">
        <v>55</v>
      </c>
      <c r="J133" s="25" t="inlineStr">
        <is>
          <t>Apply Here</t>
        </is>
      </c>
      <c r="K133" s="26" t="n"/>
      <c r="L133" s="26" t="n"/>
      <c r="M133" s="26" t="inlineStr">
        <is>
          <t>Pending</t>
        </is>
      </c>
      <c r="N133" s="27" t="n"/>
      <c r="O133" s="26" t="n"/>
    </row>
    <row r="134">
      <c r="A134" s="19" t="inlineStr">
        <is>
          <t>820b34b178cc</t>
        </is>
      </c>
      <c r="B134" s="19" t="inlineStr">
        <is>
          <t>17/02/2026</t>
        </is>
      </c>
      <c r="C134" s="19" t="inlineStr">
        <is>
          <t>Pollution Response Technician</t>
        </is>
      </c>
      <c r="D134" s="19" t="inlineStr">
        <is>
          <t>Lanes Group</t>
        </is>
      </c>
      <c r="E134" s="19" t="inlineStr">
        <is>
          <t>Tudeley, Tonbridge</t>
        </is>
      </c>
      <c r="F134" s="19" t="inlineStr">
        <is>
          <t>£54,416 – £54,416</t>
        </is>
      </c>
      <c r="G134" s="19" t="inlineStr">
        <is>
          <t>Adzuna UK</t>
        </is>
      </c>
      <c r="H134" s="20" t="inlineStr">
        <is>
          <t>CONFIRMED</t>
        </is>
      </c>
      <c r="I134" s="19" t="n">
        <v>55</v>
      </c>
      <c r="J134" s="21" t="inlineStr">
        <is>
          <t>Apply Here</t>
        </is>
      </c>
      <c r="K134" s="22" t="n"/>
      <c r="L134" s="22" t="n"/>
      <c r="M134" s="22" t="inlineStr">
        <is>
          <t>Pending</t>
        </is>
      </c>
      <c r="N134" s="23" t="n"/>
      <c r="O134" s="22" t="n"/>
    </row>
    <row r="135">
      <c r="A135" s="24" t="inlineStr">
        <is>
          <t>4baf7c4c5bbd</t>
        </is>
      </c>
      <c r="B135" s="24" t="inlineStr">
        <is>
          <t>17/02/2026</t>
        </is>
      </c>
      <c r="C135" s="24" t="inlineStr">
        <is>
          <t>Electrical Project/Design Engineer</t>
        </is>
      </c>
      <c r="D135" s="24" t="inlineStr">
        <is>
          <t>Matchtech</t>
        </is>
      </c>
      <c r="E135" s="24" t="inlineStr">
        <is>
          <t>Farringdon, Central London</t>
        </is>
      </c>
      <c r="F135" s="24" t="inlineStr">
        <is>
          <t>£40,000 – £50,000</t>
        </is>
      </c>
      <c r="G135" s="24" t="inlineStr">
        <is>
          <t>Adzuna UK</t>
        </is>
      </c>
      <c r="H135" s="20" t="inlineStr">
        <is>
          <t>CONFIRMED</t>
        </is>
      </c>
      <c r="I135" s="24" t="n">
        <v>50</v>
      </c>
      <c r="J135" s="25" t="inlineStr">
        <is>
          <t>Apply Here</t>
        </is>
      </c>
      <c r="K135" s="26" t="n"/>
      <c r="L135" s="26" t="n"/>
      <c r="M135" s="26" t="inlineStr">
        <is>
          <t>Pending</t>
        </is>
      </c>
      <c r="N135" s="27" t="n"/>
      <c r="O135" s="26" t="n"/>
    </row>
    <row r="136">
      <c r="A136" s="19" t="inlineStr">
        <is>
          <t>6e00d0b66737</t>
        </is>
      </c>
      <c r="B136" s="19" t="inlineStr">
        <is>
          <t>17/02/2026</t>
        </is>
      </c>
      <c r="C136" s="19" t="inlineStr">
        <is>
          <t>Civil Engineer (Hybrid)</t>
        </is>
      </c>
      <c r="D136" s="19" t="inlineStr">
        <is>
          <t>Ernest Gordon Recruitment</t>
        </is>
      </c>
      <c r="E136" s="19" t="inlineStr">
        <is>
          <t>Slough, Berkshire</t>
        </is>
      </c>
      <c r="F136" s="19" t="inlineStr">
        <is>
          <t>£55,000 – £55,000</t>
        </is>
      </c>
      <c r="G136" s="19" t="inlineStr">
        <is>
          <t>Adzuna UK</t>
        </is>
      </c>
      <c r="H136" s="20" t="inlineStr">
        <is>
          <t>CONFIRMED</t>
        </is>
      </c>
      <c r="I136" s="19" t="n">
        <v>50</v>
      </c>
      <c r="J136" s="21" t="inlineStr">
        <is>
          <t>Apply Here</t>
        </is>
      </c>
      <c r="K136" s="22" t="n"/>
      <c r="L136" s="22" t="n"/>
      <c r="M136" s="22" t="inlineStr">
        <is>
          <t>Pending</t>
        </is>
      </c>
      <c r="N136" s="23" t="n"/>
      <c r="O136" s="22" t="n"/>
    </row>
    <row r="137">
      <c r="A137" s="24" t="inlineStr">
        <is>
          <t>ccee00df94ed</t>
        </is>
      </c>
      <c r="B137" s="24" t="inlineStr">
        <is>
          <t>17/02/2026</t>
        </is>
      </c>
      <c r="C137" s="24" t="inlineStr">
        <is>
          <t>Civil Engineer Hybrid</t>
        </is>
      </c>
      <c r="D137" s="24" t="inlineStr">
        <is>
          <t>Ernest Gordon Recruitment Limited</t>
        </is>
      </c>
      <c r="E137" s="24" t="inlineStr">
        <is>
          <t>Slough, Berkshire</t>
        </is>
      </c>
      <c r="F137" s="24" t="inlineStr">
        <is>
          <t>£45,000 – £55,000</t>
        </is>
      </c>
      <c r="G137" s="24" t="inlineStr">
        <is>
          <t>Adzuna UK</t>
        </is>
      </c>
      <c r="H137" s="20" t="inlineStr">
        <is>
          <t>CONFIRMED</t>
        </is>
      </c>
      <c r="I137" s="24" t="n">
        <v>50</v>
      </c>
      <c r="J137" s="25" t="inlineStr">
        <is>
          <t>Apply Here</t>
        </is>
      </c>
      <c r="K137" s="26" t="n"/>
      <c r="L137" s="26" t="n"/>
      <c r="M137" s="26" t="inlineStr">
        <is>
          <t>Pending</t>
        </is>
      </c>
      <c r="N137" s="27" t="n"/>
      <c r="O137" s="26" t="n"/>
    </row>
    <row r="138">
      <c r="A138" s="19" t="inlineStr">
        <is>
          <t>9c595afe7c31</t>
        </is>
      </c>
      <c r="B138" s="19" t="inlineStr">
        <is>
          <t>17/02/2026</t>
        </is>
      </c>
      <c r="C138" s="19" t="inlineStr">
        <is>
          <t>Civil Engineer Water industry</t>
        </is>
      </c>
      <c r="D138" s="19" t="inlineStr">
        <is>
          <t>Ernest Gordon Recruitment Limited</t>
        </is>
      </c>
      <c r="E138" s="19" t="inlineStr">
        <is>
          <t>Slough, Berkshire</t>
        </is>
      </c>
      <c r="F138" s="19" t="inlineStr">
        <is>
          <t>£45,000 – £55,000</t>
        </is>
      </c>
      <c r="G138" s="19" t="inlineStr">
        <is>
          <t>Adzuna UK</t>
        </is>
      </c>
      <c r="H138" s="20" t="inlineStr">
        <is>
          <t>CONFIRMED</t>
        </is>
      </c>
      <c r="I138" s="19" t="n">
        <v>50</v>
      </c>
      <c r="J138" s="21" t="inlineStr">
        <is>
          <t>Apply Here</t>
        </is>
      </c>
      <c r="K138" s="22" t="n"/>
      <c r="L138" s="22" t="n"/>
      <c r="M138" s="22" t="inlineStr">
        <is>
          <t>Pending</t>
        </is>
      </c>
      <c r="N138" s="23" t="n"/>
      <c r="O138" s="22" t="n"/>
    </row>
    <row r="139">
      <c r="A139" s="24" t="inlineStr">
        <is>
          <t>701e684e596a</t>
        </is>
      </c>
      <c r="B139" s="24" t="inlineStr">
        <is>
          <t>17/02/2026</t>
        </is>
      </c>
      <c r="C139" s="24" t="inlineStr">
        <is>
          <t>Civil Engineer (Water industry)</t>
        </is>
      </c>
      <c r="D139" s="24" t="inlineStr">
        <is>
          <t>Ernest Gordon Recruitment</t>
        </is>
      </c>
      <c r="E139" s="24" t="inlineStr">
        <is>
          <t>Slough, Berkshire</t>
        </is>
      </c>
      <c r="F139" s="24" t="inlineStr">
        <is>
          <t>£55,000 – £55,000</t>
        </is>
      </c>
      <c r="G139" s="24" t="inlineStr">
        <is>
          <t>Adzuna UK</t>
        </is>
      </c>
      <c r="H139" s="20" t="inlineStr">
        <is>
          <t>CONFIRMED</t>
        </is>
      </c>
      <c r="I139" s="24" t="n">
        <v>50</v>
      </c>
      <c r="J139" s="25" t="inlineStr">
        <is>
          <t>Apply Here</t>
        </is>
      </c>
      <c r="K139" s="26" t="n"/>
      <c r="L139" s="26" t="n"/>
      <c r="M139" s="26" t="inlineStr">
        <is>
          <t>Pending</t>
        </is>
      </c>
      <c r="N139" s="27" t="n"/>
      <c r="O139" s="26" t="n"/>
    </row>
    <row r="140">
      <c r="A140" s="19" t="inlineStr">
        <is>
          <t>f14280a845da</t>
        </is>
      </c>
      <c r="B140" s="19" t="inlineStr">
        <is>
          <t>18/02/2026</t>
        </is>
      </c>
      <c r="C140" s="19" t="inlineStr">
        <is>
          <t>Plumber</t>
        </is>
      </c>
      <c r="D140" s="19" t="inlineStr">
        <is>
          <t>WATES PROPERTY SERVICES LIMITED</t>
        </is>
      </c>
      <c r="E140" s="19" t="inlineStr">
        <is>
          <t>Crawley, West Sussex</t>
        </is>
      </c>
      <c r="F140" s="19" t="inlineStr">
        <is>
          <t>£50,654 – £50,654</t>
        </is>
      </c>
      <c r="G140" s="19" t="inlineStr">
        <is>
          <t>Adzuna UK</t>
        </is>
      </c>
      <c r="H140" s="20" t="inlineStr">
        <is>
          <t>CONFIRMED</t>
        </is>
      </c>
      <c r="I140" s="19" t="n">
        <v>70</v>
      </c>
      <c r="J140" s="21" t="inlineStr">
        <is>
          <t>Apply Here</t>
        </is>
      </c>
      <c r="K140" s="22" t="n"/>
      <c r="L140" s="22" t="n"/>
      <c r="M140" s="22" t="inlineStr">
        <is>
          <t>Pending</t>
        </is>
      </c>
      <c r="N140" s="23" t="n"/>
      <c r="O140" s="22" t="n"/>
    </row>
    <row r="141">
      <c r="A141" s="24" t="inlineStr">
        <is>
          <t>78dd66f6601b</t>
        </is>
      </c>
      <c r="B141" s="24" t="inlineStr">
        <is>
          <t>18/02/2026</t>
        </is>
      </c>
      <c r="C141" s="24" t="inlineStr">
        <is>
          <t>Drainage Engineer</t>
        </is>
      </c>
      <c r="D141" s="24" t="inlineStr">
        <is>
          <t>CHARTWELL</t>
        </is>
      </c>
      <c r="E141" s="24" t="inlineStr">
        <is>
          <t>Chatham, Kent</t>
        </is>
      </c>
      <c r="F141" s="24" t="inlineStr">
        <is>
          <t>£45,000 – £45,000</t>
        </is>
      </c>
      <c r="G141" s="24" t="inlineStr">
        <is>
          <t>Adzuna UK</t>
        </is>
      </c>
      <c r="H141" s="20" t="inlineStr">
        <is>
          <t>CONFIRMED</t>
        </is>
      </c>
      <c r="I141" s="24" t="n">
        <v>70</v>
      </c>
      <c r="J141" s="25" t="inlineStr">
        <is>
          <t>Apply Here</t>
        </is>
      </c>
      <c r="K141" s="26" t="n"/>
      <c r="L141" s="26" t="n"/>
      <c r="M141" s="26" t="inlineStr">
        <is>
          <t>Pending</t>
        </is>
      </c>
      <c r="N141" s="27" t="n"/>
      <c r="O141" s="26" t="n"/>
    </row>
    <row r="142">
      <c r="A142" s="19" t="inlineStr">
        <is>
          <t>0b3ab94ba52b</t>
        </is>
      </c>
      <c r="B142" s="19" t="inlineStr">
        <is>
          <t>18/02/2026</t>
        </is>
      </c>
      <c r="C142" s="19" t="inlineStr">
        <is>
          <t>Drainage Engineer</t>
        </is>
      </c>
      <c r="D142" s="19" t="inlineStr">
        <is>
          <t>Reed</t>
        </is>
      </c>
      <c r="E142" s="19" t="inlineStr">
        <is>
          <t>London, UK</t>
        </is>
      </c>
      <c r="F142" s="19" t="inlineStr">
        <is>
          <t>£40,000 – £50,000</t>
        </is>
      </c>
      <c r="G142" s="19" t="inlineStr">
        <is>
          <t>Adzuna UK</t>
        </is>
      </c>
      <c r="H142" s="20" t="inlineStr">
        <is>
          <t>CONFIRMED</t>
        </is>
      </c>
      <c r="I142" s="19" t="n">
        <v>70</v>
      </c>
      <c r="J142" s="21" t="inlineStr">
        <is>
          <t>Apply Here</t>
        </is>
      </c>
      <c r="K142" s="22" t="n"/>
      <c r="L142" s="22" t="n"/>
      <c r="M142" s="22" t="inlineStr">
        <is>
          <t>Pending</t>
        </is>
      </c>
      <c r="N142" s="23" t="n"/>
      <c r="O142" s="22" t="n"/>
    </row>
    <row r="143">
      <c r="A143" s="24" t="inlineStr">
        <is>
          <t>364f3b0e4e25</t>
        </is>
      </c>
      <c r="B143" s="24" t="inlineStr">
        <is>
          <t>18/02/2026</t>
        </is>
      </c>
      <c r="C143" s="24" t="inlineStr">
        <is>
          <t>Civil Infrastructure Engineer</t>
        </is>
      </c>
      <c r="D143" s="24" t="inlineStr">
        <is>
          <t>Zodiac Recruitment</t>
        </is>
      </c>
      <c r="E143" s="24" t="inlineStr">
        <is>
          <t>Stone Cross, Crowborough</t>
        </is>
      </c>
      <c r="F143" s="24" t="inlineStr">
        <is>
          <t>£32,000 – £44,000</t>
        </is>
      </c>
      <c r="G143" s="24" t="inlineStr">
        <is>
          <t>Adzuna UK</t>
        </is>
      </c>
      <c r="H143" s="20" t="inlineStr">
        <is>
          <t>CONFIRMED</t>
        </is>
      </c>
      <c r="I143" s="24" t="n">
        <v>70</v>
      </c>
      <c r="J143" s="25" t="inlineStr">
        <is>
          <t>Apply Here</t>
        </is>
      </c>
      <c r="K143" s="26" t="n"/>
      <c r="L143" s="26" t="n"/>
      <c r="M143" s="26" t="inlineStr">
        <is>
          <t>Pending</t>
        </is>
      </c>
      <c r="N143" s="27" t="n"/>
      <c r="O143" s="26" t="n"/>
    </row>
    <row r="144">
      <c r="A144" s="19" t="inlineStr">
        <is>
          <t>512db54969ff</t>
        </is>
      </c>
      <c r="B144" s="19" t="inlineStr">
        <is>
          <t>18/02/2026</t>
        </is>
      </c>
      <c r="C144" s="19" t="inlineStr">
        <is>
          <t>Drainage Engineer</t>
        </is>
      </c>
      <c r="D144" s="19" t="inlineStr">
        <is>
          <t>Ernest Gordon Recruitment</t>
        </is>
      </c>
      <c r="E144" s="19" t="inlineStr">
        <is>
          <t>South Croydon, South East London</t>
        </is>
      </c>
      <c r="F144" s="19" t="inlineStr">
        <is>
          <t>£45,000 – £45,000</t>
        </is>
      </c>
      <c r="G144" s="19" t="inlineStr">
        <is>
          <t>Adzuna UK</t>
        </is>
      </c>
      <c r="H144" s="20" t="inlineStr">
        <is>
          <t>CONFIRMED</t>
        </is>
      </c>
      <c r="I144" s="19" t="n">
        <v>70</v>
      </c>
      <c r="J144" s="21" t="inlineStr">
        <is>
          <t>Apply Here</t>
        </is>
      </c>
      <c r="K144" s="22" t="n"/>
      <c r="L144" s="22" t="n"/>
      <c r="M144" s="22" t="inlineStr">
        <is>
          <t>Pending</t>
        </is>
      </c>
      <c r="N144" s="23" t="n"/>
      <c r="O144" s="22" t="n"/>
    </row>
    <row r="145">
      <c r="A145" s="24" t="inlineStr">
        <is>
          <t>010c53a0f057</t>
        </is>
      </c>
      <c r="B145" s="24" t="inlineStr">
        <is>
          <t>18/02/2026</t>
        </is>
      </c>
      <c r="C145" s="24" t="inlineStr">
        <is>
          <t>Drainage Engineer</t>
        </is>
      </c>
      <c r="D145" s="24" t="inlineStr">
        <is>
          <t>Ernest Gordon Recruitment Limited</t>
        </is>
      </c>
      <c r="E145" s="24" t="inlineStr">
        <is>
          <t>South Croydon, South East London</t>
        </is>
      </c>
      <c r="F145" s="24" t="inlineStr">
        <is>
          <t>£35,000 – £45,000</t>
        </is>
      </c>
      <c r="G145" s="24" t="inlineStr">
        <is>
          <t>Adzuna UK</t>
        </is>
      </c>
      <c r="H145" s="20" t="inlineStr">
        <is>
          <t>CONFIRMED</t>
        </is>
      </c>
      <c r="I145" s="24" t="n">
        <v>70</v>
      </c>
      <c r="J145" s="25" t="inlineStr">
        <is>
          <t>Apply Here</t>
        </is>
      </c>
      <c r="K145" s="26" t="n"/>
      <c r="L145" s="26" t="n"/>
      <c r="M145" s="26" t="inlineStr">
        <is>
          <t>Pending</t>
        </is>
      </c>
      <c r="N145" s="27" t="n"/>
      <c r="O145" s="26" t="n"/>
    </row>
    <row r="146">
      <c r="A146" s="19" t="inlineStr">
        <is>
          <t>6beb7a9fb901</t>
        </is>
      </c>
      <c r="B146" s="19" t="inlineStr">
        <is>
          <t>18/02/2026</t>
        </is>
      </c>
      <c r="C146" s="19" t="inlineStr">
        <is>
          <t>Drainage Engineer</t>
        </is>
      </c>
      <c r="D146" s="19" t="inlineStr">
        <is>
          <t>Ernest Gordon Recruitment Limited</t>
        </is>
      </c>
      <c r="E146" s="19" t="inlineStr">
        <is>
          <t>Croydon, London</t>
        </is>
      </c>
      <c r="F146" s="19" t="inlineStr">
        <is>
          <t>£35,000 – £45,000</t>
        </is>
      </c>
      <c r="G146" s="19" t="inlineStr">
        <is>
          <t>Adzuna UK</t>
        </is>
      </c>
      <c r="H146" s="20" t="inlineStr">
        <is>
          <t>CONFIRMED</t>
        </is>
      </c>
      <c r="I146" s="19" t="n">
        <v>70</v>
      </c>
      <c r="J146" s="21" t="inlineStr">
        <is>
          <t>Apply Here</t>
        </is>
      </c>
      <c r="K146" s="22" t="n"/>
      <c r="L146" s="22" t="n"/>
      <c r="M146" s="22" t="inlineStr">
        <is>
          <t>Pending</t>
        </is>
      </c>
      <c r="N146" s="23" t="n"/>
      <c r="O146" s="22" t="n"/>
    </row>
    <row r="147">
      <c r="A147" s="24" t="inlineStr">
        <is>
          <t>2557e9d8c609</t>
        </is>
      </c>
      <c r="B147" s="24" t="inlineStr">
        <is>
          <t>18/02/2026</t>
        </is>
      </c>
      <c r="C147" s="24" t="inlineStr">
        <is>
          <t>Senior Water Network Engineer/Modellers</t>
        </is>
      </c>
      <c r="D147" s="24" t="inlineStr">
        <is>
          <t>Jacobs</t>
        </is>
      </c>
      <c r="E147" s="24" t="inlineStr">
        <is>
          <t>Reading, Berkshire</t>
        </is>
      </c>
      <c r="F147" s="24" t="inlineStr">
        <is>
          <t>£50,253 – £50,253</t>
        </is>
      </c>
      <c r="G147" s="24" t="inlineStr">
        <is>
          <t>Adzuna UK</t>
        </is>
      </c>
      <c r="H147" s="20" t="inlineStr">
        <is>
          <t>CONFIRMED</t>
        </is>
      </c>
      <c r="I147" s="24" t="n">
        <v>65</v>
      </c>
      <c r="J147" s="25" t="inlineStr">
        <is>
          <t>Apply Here</t>
        </is>
      </c>
      <c r="K147" s="26" t="n"/>
      <c r="L147" s="26" t="n"/>
      <c r="M147" s="26" t="inlineStr">
        <is>
          <t>Pending</t>
        </is>
      </c>
      <c r="N147" s="27" t="n"/>
      <c r="O147" s="26" t="n"/>
    </row>
    <row r="148">
      <c r="A148" s="19" t="inlineStr">
        <is>
          <t>96e34547a9e5</t>
        </is>
      </c>
      <c r="B148" s="19" t="inlineStr">
        <is>
          <t>18/02/2026</t>
        </is>
      </c>
      <c r="C148" s="19" t="inlineStr">
        <is>
          <t>Hydraulics Engineers - UK Wide</t>
        </is>
      </c>
      <c r="D148" s="19" t="inlineStr">
        <is>
          <t>Jacobs</t>
        </is>
      </c>
      <c r="E148" s="19" t="inlineStr">
        <is>
          <t>Reading, Berkshire</t>
        </is>
      </c>
      <c r="F148" s="19" t="inlineStr">
        <is>
          <t>£48,252 – £48,252</t>
        </is>
      </c>
      <c r="G148" s="19" t="inlineStr">
        <is>
          <t>Adzuna UK</t>
        </is>
      </c>
      <c r="H148" s="20" t="inlineStr">
        <is>
          <t>CONFIRMED</t>
        </is>
      </c>
      <c r="I148" s="19" t="n">
        <v>65</v>
      </c>
      <c r="J148" s="21" t="inlineStr">
        <is>
          <t>Apply Here</t>
        </is>
      </c>
      <c r="K148" s="22" t="n"/>
      <c r="L148" s="22" t="n"/>
      <c r="M148" s="22" t="inlineStr">
        <is>
          <t>Pending</t>
        </is>
      </c>
      <c r="N148" s="23" t="n"/>
      <c r="O148" s="22" t="n"/>
    </row>
    <row r="149">
      <c r="A149" s="24" t="inlineStr">
        <is>
          <t>361042e68b9e</t>
        </is>
      </c>
      <c r="B149" s="24" t="inlineStr">
        <is>
          <t>18/02/2026</t>
        </is>
      </c>
      <c r="C149" s="24" t="inlineStr">
        <is>
          <t>Hydraulics Engineers - UK Wide</t>
        </is>
      </c>
      <c r="D149" s="24" t="inlineStr">
        <is>
          <t>Jacobs</t>
        </is>
      </c>
      <c r="E149" s="24" t="inlineStr">
        <is>
          <t>London, UK</t>
        </is>
      </c>
      <c r="F149" s="24" t="inlineStr">
        <is>
          <t>£49,369 – £49,369</t>
        </is>
      </c>
      <c r="G149" s="24" t="inlineStr">
        <is>
          <t>Adzuna UK</t>
        </is>
      </c>
      <c r="H149" s="20" t="inlineStr">
        <is>
          <t>CONFIRMED</t>
        </is>
      </c>
      <c r="I149" s="24" t="n">
        <v>65</v>
      </c>
      <c r="J149" s="25" t="inlineStr">
        <is>
          <t>Apply Here</t>
        </is>
      </c>
      <c r="K149" s="26" t="n"/>
      <c r="L149" s="26" t="n"/>
      <c r="M149" s="26" t="inlineStr">
        <is>
          <t>Pending</t>
        </is>
      </c>
      <c r="N149" s="27" t="n"/>
      <c r="O149" s="26" t="n"/>
    </row>
    <row r="150">
      <c r="A150" s="19" t="inlineStr">
        <is>
          <t>07a222444bb4</t>
        </is>
      </c>
      <c r="B150" s="19" t="inlineStr">
        <is>
          <t>18/02/2026</t>
        </is>
      </c>
      <c r="C150" s="19" t="inlineStr">
        <is>
          <t>Senior Civil Engineer</t>
        </is>
      </c>
      <c r="D150" s="19" t="inlineStr">
        <is>
          <t>Penguin Recruitment</t>
        </is>
      </c>
      <c r="E150" s="19" t="inlineStr">
        <is>
          <t>Denner Hill, Great Missenden</t>
        </is>
      </c>
      <c r="F150" s="19" t="inlineStr">
        <is>
          <t>£38,000 – £60,000</t>
        </is>
      </c>
      <c r="G150" s="19" t="inlineStr">
        <is>
          <t>Adzuna UK</t>
        </is>
      </c>
      <c r="H150" s="20" t="inlineStr">
        <is>
          <t>CONFIRMED</t>
        </is>
      </c>
      <c r="I150" s="19" t="n">
        <v>60</v>
      </c>
      <c r="J150" s="21" t="inlineStr">
        <is>
          <t>Apply Here</t>
        </is>
      </c>
      <c r="K150" s="22" t="n"/>
      <c r="L150" s="22" t="n"/>
      <c r="M150" s="22" t="inlineStr">
        <is>
          <t>Pending</t>
        </is>
      </c>
      <c r="N150" s="23" t="n"/>
      <c r="O150" s="22" t="n"/>
    </row>
    <row r="151">
      <c r="A151" s="24" t="inlineStr">
        <is>
          <t>04ece1d79179</t>
        </is>
      </c>
      <c r="B151" s="24" t="inlineStr">
        <is>
          <t>18/02/2026</t>
        </is>
      </c>
      <c r="C151" s="24" t="inlineStr">
        <is>
          <t>Assistant Quantity Surveyor / Estimator - Civil Engineering</t>
        </is>
      </c>
      <c r="D151" s="24" t="inlineStr">
        <is>
          <t>Henley Chase</t>
        </is>
      </c>
      <c r="E151" s="24" t="inlineStr">
        <is>
          <t>New Haw, Addlestone</t>
        </is>
      </c>
      <c r="F151" s="24" t="inlineStr">
        <is>
          <t>£30,000 – £50,000</t>
        </is>
      </c>
      <c r="G151" s="24" t="inlineStr">
        <is>
          <t>Adzuna UK</t>
        </is>
      </c>
      <c r="H151" s="20" t="inlineStr">
        <is>
          <t>CONFIRMED</t>
        </is>
      </c>
      <c r="I151" s="24" t="n">
        <v>60</v>
      </c>
      <c r="J151" s="25" t="inlineStr">
        <is>
          <t>Apply Here</t>
        </is>
      </c>
      <c r="K151" s="26" t="n"/>
      <c r="L151" s="26" t="n"/>
      <c r="M151" s="26" t="inlineStr">
        <is>
          <t>Pending</t>
        </is>
      </c>
      <c r="N151" s="27" t="n"/>
      <c r="O151" s="26" t="n"/>
    </row>
    <row r="152">
      <c r="A152" s="19" t="inlineStr">
        <is>
          <t>b673e5db5235</t>
        </is>
      </c>
      <c r="B152" s="19" t="inlineStr">
        <is>
          <t>18/02/2026</t>
        </is>
      </c>
      <c r="C152" s="19" t="inlineStr">
        <is>
          <t>Junior Quantity Surveyor / Estimator - Civil Engineering</t>
        </is>
      </c>
      <c r="D152" s="19" t="inlineStr">
        <is>
          <t>Henley Chase Limited</t>
        </is>
      </c>
      <c r="E152" s="19" t="inlineStr">
        <is>
          <t>Addlestone, Surrey</t>
        </is>
      </c>
      <c r="F152" s="19" t="inlineStr">
        <is>
          <t>£30,000 – £50,000</t>
        </is>
      </c>
      <c r="G152" s="19" t="inlineStr">
        <is>
          <t>Adzuna UK</t>
        </is>
      </c>
      <c r="H152" s="20" t="inlineStr">
        <is>
          <t>CONFIRMED</t>
        </is>
      </c>
      <c r="I152" s="19" t="n">
        <v>60</v>
      </c>
      <c r="J152" s="21" t="inlineStr">
        <is>
          <t>Apply Here</t>
        </is>
      </c>
      <c r="K152" s="22" t="n"/>
      <c r="L152" s="22" t="n"/>
      <c r="M152" s="22" t="inlineStr">
        <is>
          <t>Pending</t>
        </is>
      </c>
      <c r="N152" s="23" t="n"/>
      <c r="O152" s="22" t="n"/>
    </row>
    <row r="153">
      <c r="A153" s="24" t="inlineStr">
        <is>
          <t>017fd8d32724</t>
        </is>
      </c>
      <c r="B153" s="24" t="inlineStr">
        <is>
          <t>18/02/2026</t>
        </is>
      </c>
      <c r="C153" s="24" t="inlineStr">
        <is>
          <t>Drainage Design Engineer</t>
        </is>
      </c>
      <c r="D153" s="24" t="inlineStr">
        <is>
          <t>Pave Recruit</t>
        </is>
      </c>
      <c r="E153" s="24" t="inlineStr">
        <is>
          <t>Richmond, West London</t>
        </is>
      </c>
      <c r="F153" s="24" t="inlineStr">
        <is>
          <t>£38,000 – £44,000</t>
        </is>
      </c>
      <c r="G153" s="24" t="inlineStr">
        <is>
          <t>Adzuna UK</t>
        </is>
      </c>
      <c r="H153" s="20" t="inlineStr">
        <is>
          <t>CONFIRMED</t>
        </is>
      </c>
      <c r="I153" s="24" t="n">
        <v>55</v>
      </c>
      <c r="J153" s="25" t="inlineStr">
        <is>
          <t>Apply Here</t>
        </is>
      </c>
      <c r="K153" s="26" t="n"/>
      <c r="L153" s="26" t="n"/>
      <c r="M153" s="26" t="inlineStr">
        <is>
          <t>Pending</t>
        </is>
      </c>
      <c r="N153" s="27" t="n"/>
      <c r="O153" s="26" t="n"/>
    </row>
    <row r="154">
      <c r="A154" s="19" t="inlineStr">
        <is>
          <t>d8e14bdedc85</t>
        </is>
      </c>
      <c r="B154" s="19" t="inlineStr">
        <is>
          <t>18/02/2026</t>
        </is>
      </c>
      <c r="C154" s="19" t="inlineStr">
        <is>
          <t>Quality Engineer</t>
        </is>
      </c>
      <c r="D154" s="19" t="inlineStr">
        <is>
          <t>Rapiscan Systems</t>
        </is>
      </c>
      <c r="E154" s="19" t="inlineStr">
        <is>
          <t>Salfords, Redhill</t>
        </is>
      </c>
      <c r="F154" s="19" t="inlineStr">
        <is>
          <t>£46,683 – £46,683</t>
        </is>
      </c>
      <c r="G154" s="19" t="inlineStr">
        <is>
          <t>Adzuna UK</t>
        </is>
      </c>
      <c r="H154" s="20" t="inlineStr">
        <is>
          <t>CONFIRMED</t>
        </is>
      </c>
      <c r="I154" s="19" t="n">
        <v>55</v>
      </c>
      <c r="J154" s="21" t="inlineStr">
        <is>
          <t>Apply Here</t>
        </is>
      </c>
      <c r="K154" s="22" t="n"/>
      <c r="L154" s="22" t="n"/>
      <c r="M154" s="22" t="inlineStr">
        <is>
          <t>Pending</t>
        </is>
      </c>
      <c r="N154" s="23" t="n"/>
      <c r="O154" s="22" t="n"/>
    </row>
    <row r="155">
      <c r="A155" s="24" t="inlineStr">
        <is>
          <t>9c1c76c2e8a4</t>
        </is>
      </c>
      <c r="B155" s="24" t="inlineStr">
        <is>
          <t>18/02/2026</t>
        </is>
      </c>
      <c r="C155" s="24" t="inlineStr">
        <is>
          <t>Quality Engineer</t>
        </is>
      </c>
      <c r="D155" s="24" t="inlineStr">
        <is>
          <t>Rapiscan Systems</t>
        </is>
      </c>
      <c r="E155" s="24" t="inlineStr">
        <is>
          <t>Redhill, Surrey</t>
        </is>
      </c>
      <c r="F155" s="24" t="inlineStr">
        <is>
          <t>£48,879 – £48,879</t>
        </is>
      </c>
      <c r="G155" s="24" t="inlineStr">
        <is>
          <t>Adzuna UK</t>
        </is>
      </c>
      <c r="H155" s="20" t="inlineStr">
        <is>
          <t>CONFIRMED</t>
        </is>
      </c>
      <c r="I155" s="24" t="n">
        <v>55</v>
      </c>
      <c r="J155" s="25" t="inlineStr">
        <is>
          <t>Apply Here</t>
        </is>
      </c>
      <c r="K155" s="26" t="n"/>
      <c r="L155" s="26" t="n"/>
      <c r="M155" s="26" t="inlineStr">
        <is>
          <t>Pending</t>
        </is>
      </c>
      <c r="N155" s="27" t="n"/>
      <c r="O155" s="26" t="n"/>
    </row>
    <row r="156">
      <c r="A156" s="19" t="inlineStr">
        <is>
          <t>95a61278166a</t>
        </is>
      </c>
      <c r="B156" s="19" t="inlineStr">
        <is>
          <t>18/02/2026</t>
        </is>
      </c>
      <c r="C156" s="19" t="inlineStr">
        <is>
          <t>Assistant Engineer - Clean Water Modelling</t>
        </is>
      </c>
      <c r="D156" s="19" t="inlineStr">
        <is>
          <t>WSP</t>
        </is>
      </c>
      <c r="E156" s="19" t="inlineStr">
        <is>
          <t>Aldwych, Central London</t>
        </is>
      </c>
      <c r="F156" s="19" t="inlineStr">
        <is>
          <t>£45,719 – £45,719</t>
        </is>
      </c>
      <c r="G156" s="19" t="inlineStr">
        <is>
          <t>Adzuna UK</t>
        </is>
      </c>
      <c r="H156" s="20" t="inlineStr">
        <is>
          <t>CONFIRMED</t>
        </is>
      </c>
      <c r="I156" s="19" t="n">
        <v>55</v>
      </c>
      <c r="J156" s="21" t="inlineStr">
        <is>
          <t>Apply Here</t>
        </is>
      </c>
      <c r="K156" s="22" t="n"/>
      <c r="L156" s="22" t="n"/>
      <c r="M156" s="22" t="inlineStr">
        <is>
          <t>Pending</t>
        </is>
      </c>
      <c r="N156" s="23" t="n"/>
      <c r="O156" s="22" t="n"/>
    </row>
    <row r="157">
      <c r="A157" s="24" t="inlineStr">
        <is>
          <t>3368909f4dd6</t>
        </is>
      </c>
      <c r="B157" s="24" t="inlineStr">
        <is>
          <t>18/02/2026</t>
        </is>
      </c>
      <c r="C157" s="24" t="inlineStr">
        <is>
          <t>Drainage Operations Manager</t>
        </is>
      </c>
      <c r="D157" s="24" t="inlineStr">
        <is>
          <t>Vector Recruitment Solutions</t>
        </is>
      </c>
      <c r="E157" s="24" t="inlineStr">
        <is>
          <t>Church Langley, Harlow</t>
        </is>
      </c>
      <c r="F157" s="24" t="inlineStr">
        <is>
          <t>£50,000 – £55,000</t>
        </is>
      </c>
      <c r="G157" s="24" t="inlineStr">
        <is>
          <t>Adzuna UK</t>
        </is>
      </c>
      <c r="H157" s="20" t="inlineStr">
        <is>
          <t>CONFIRMED</t>
        </is>
      </c>
      <c r="I157" s="24" t="n">
        <v>55</v>
      </c>
      <c r="J157" s="25" t="inlineStr">
        <is>
          <t>Apply Here</t>
        </is>
      </c>
      <c r="K157" s="26" t="n"/>
      <c r="L157" s="26" t="n"/>
      <c r="M157" s="26" t="inlineStr">
        <is>
          <t>Pending</t>
        </is>
      </c>
      <c r="N157" s="27" t="n"/>
      <c r="O157" s="26" t="n"/>
    </row>
    <row r="158">
      <c r="A158" s="19" t="inlineStr">
        <is>
          <t>c0b5ead5d703</t>
        </is>
      </c>
      <c r="B158" s="19" t="inlineStr">
        <is>
          <t>18/02/2026</t>
        </is>
      </c>
      <c r="C158" s="19" t="inlineStr">
        <is>
          <t>HGV Class 2 Tanker Driver – Drainage</t>
        </is>
      </c>
      <c r="D158" s="19" t="inlineStr">
        <is>
          <t>Excellis Consultancy</t>
        </is>
      </c>
      <c r="E158" s="19" t="inlineStr">
        <is>
          <t>Riverhead, Sevenoaks</t>
        </is>
      </c>
      <c r="F158" s="19" t="inlineStr">
        <is>
          <t>£45,000 – £48,000</t>
        </is>
      </c>
      <c r="G158" s="19" t="inlineStr">
        <is>
          <t>Adzuna UK</t>
        </is>
      </c>
      <c r="H158" s="20" t="inlineStr">
        <is>
          <t>CONFIRMED</t>
        </is>
      </c>
      <c r="I158" s="19" t="n">
        <v>55</v>
      </c>
      <c r="J158" s="21" t="inlineStr">
        <is>
          <t>Apply Here</t>
        </is>
      </c>
      <c r="K158" s="22" t="n"/>
      <c r="L158" s="22" t="n"/>
      <c r="M158" s="22" t="inlineStr">
        <is>
          <t>Pending</t>
        </is>
      </c>
      <c r="N158" s="23" t="n"/>
      <c r="O158" s="22" t="n"/>
    </row>
    <row r="159">
      <c r="A159" s="24" t="inlineStr">
        <is>
          <t>06f8ddbdfb29</t>
        </is>
      </c>
      <c r="B159" s="24" t="inlineStr">
        <is>
          <t>18/02/2026</t>
        </is>
      </c>
      <c r="C159" s="24" t="inlineStr">
        <is>
          <t>Drainage Design Engineer</t>
        </is>
      </c>
      <c r="D159" s="24" t="inlineStr">
        <is>
          <t>Pave Recruit</t>
        </is>
      </c>
      <c r="E159" s="24" t="inlineStr">
        <is>
          <t>Richmond, West London</t>
        </is>
      </c>
      <c r="F159" s="24" t="inlineStr">
        <is>
          <t>£38,000 – £44,000</t>
        </is>
      </c>
      <c r="G159" s="24" t="inlineStr">
        <is>
          <t>Adzuna UK</t>
        </is>
      </c>
      <c r="H159" s="20" t="inlineStr">
        <is>
          <t>CONFIRMED</t>
        </is>
      </c>
      <c r="I159" s="24" t="n">
        <v>55</v>
      </c>
      <c r="J159" s="25" t="inlineStr">
        <is>
          <t>Apply Here</t>
        </is>
      </c>
      <c r="K159" s="26" t="n"/>
      <c r="L159" s="26" t="n"/>
      <c r="M159" s="26" t="inlineStr">
        <is>
          <t>Pending</t>
        </is>
      </c>
      <c r="N159" s="27" t="n"/>
      <c r="O159" s="26" t="n"/>
    </row>
    <row r="160">
      <c r="A160" s="19" t="inlineStr">
        <is>
          <t>5eba76b2be56</t>
        </is>
      </c>
      <c r="B160" s="19" t="inlineStr">
        <is>
          <t>18/02/2026</t>
        </is>
      </c>
      <c r="C160" s="19" t="inlineStr">
        <is>
          <t>Career Opportunities in the Water Sector - South Central | Expression of Interest</t>
        </is>
      </c>
      <c r="D160" s="19" t="inlineStr">
        <is>
          <t>Stantec UK</t>
        </is>
      </c>
      <c r="E160" s="19" t="inlineStr">
        <is>
          <t>London, UK</t>
        </is>
      </c>
      <c r="F160" s="19" t="inlineStr">
        <is>
          <t>£46,544 – £46,544</t>
        </is>
      </c>
      <c r="G160" s="19" t="inlineStr">
        <is>
          <t>Adzuna UK</t>
        </is>
      </c>
      <c r="H160" s="20" t="inlineStr">
        <is>
          <t>CONFIRMED</t>
        </is>
      </c>
      <c r="I160" s="19" t="n">
        <v>55</v>
      </c>
      <c r="J160" s="21" t="inlineStr">
        <is>
          <t>Apply Here</t>
        </is>
      </c>
      <c r="K160" s="22" t="n"/>
      <c r="L160" s="22" t="n"/>
      <c r="M160" s="22" t="inlineStr">
        <is>
          <t>Pending</t>
        </is>
      </c>
      <c r="N160" s="23" t="n"/>
      <c r="O160" s="22" t="n"/>
    </row>
    <row r="161">
      <c r="A161" s="24" t="inlineStr">
        <is>
          <t>ab71cc2367f5</t>
        </is>
      </c>
      <c r="B161" s="24" t="inlineStr">
        <is>
          <t>18/02/2026</t>
        </is>
      </c>
      <c r="C161" s="24" t="inlineStr">
        <is>
          <t>Pollution Response Technician</t>
        </is>
      </c>
      <c r="D161" s="24" t="inlineStr">
        <is>
          <t>Lanes Group</t>
        </is>
      </c>
      <c r="E161" s="24" t="inlineStr">
        <is>
          <t>Tudeley, Tonbridge</t>
        </is>
      </c>
      <c r="F161" s="24" t="inlineStr">
        <is>
          <t>£54,416 – £54,416</t>
        </is>
      </c>
      <c r="G161" s="24" t="inlineStr">
        <is>
          <t>Adzuna UK</t>
        </is>
      </c>
      <c r="H161" s="20" t="inlineStr">
        <is>
          <t>CONFIRMED</t>
        </is>
      </c>
      <c r="I161" s="24" t="n">
        <v>55</v>
      </c>
      <c r="J161" s="25" t="inlineStr">
        <is>
          <t>Apply Here</t>
        </is>
      </c>
      <c r="K161" s="26" t="n"/>
      <c r="L161" s="26" t="n"/>
      <c r="M161" s="26" t="inlineStr">
        <is>
          <t>Pending</t>
        </is>
      </c>
      <c r="N161" s="27" t="n"/>
      <c r="O161" s="26" t="n"/>
    </row>
    <row r="162">
      <c r="A162" s="19" t="inlineStr">
        <is>
          <t>933d53f44cdb</t>
        </is>
      </c>
      <c r="B162" s="19" t="inlineStr">
        <is>
          <t>18/02/2026</t>
        </is>
      </c>
      <c r="C162" s="19" t="inlineStr">
        <is>
          <t>Electrical Project/Design Engineer</t>
        </is>
      </c>
      <c r="D162" s="19" t="inlineStr">
        <is>
          <t>Matchtech</t>
        </is>
      </c>
      <c r="E162" s="19" t="inlineStr">
        <is>
          <t>Farringdon, Central London</t>
        </is>
      </c>
      <c r="F162" s="19" t="inlineStr">
        <is>
          <t>£40,000 – £50,000</t>
        </is>
      </c>
      <c r="G162" s="19" t="inlineStr">
        <is>
          <t>Adzuna UK</t>
        </is>
      </c>
      <c r="H162" s="20" t="inlineStr">
        <is>
          <t>CONFIRMED</t>
        </is>
      </c>
      <c r="I162" s="19" t="n">
        <v>50</v>
      </c>
      <c r="J162" s="21" t="inlineStr">
        <is>
          <t>Apply Here</t>
        </is>
      </c>
      <c r="K162" s="22" t="n"/>
      <c r="L162" s="22" t="n"/>
      <c r="M162" s="22" t="inlineStr">
        <is>
          <t>Pending</t>
        </is>
      </c>
      <c r="N162" s="23" t="n"/>
      <c r="O162" s="22" t="n"/>
    </row>
    <row r="163">
      <c r="A163" s="24" t="inlineStr">
        <is>
          <t>218f4d78d772</t>
        </is>
      </c>
      <c r="B163" s="24" t="inlineStr">
        <is>
          <t>18/02/2026</t>
        </is>
      </c>
      <c r="C163" s="24" t="inlineStr">
        <is>
          <t>Civil Engineer (Hybrid)</t>
        </is>
      </c>
      <c r="D163" s="24" t="inlineStr">
        <is>
          <t>Ernest Gordon Recruitment</t>
        </is>
      </c>
      <c r="E163" s="24" t="inlineStr">
        <is>
          <t>Slough, Berkshire</t>
        </is>
      </c>
      <c r="F163" s="24" t="inlineStr">
        <is>
          <t>£55,000 – £55,000</t>
        </is>
      </c>
      <c r="G163" s="24" t="inlineStr">
        <is>
          <t>Adzuna UK</t>
        </is>
      </c>
      <c r="H163" s="20" t="inlineStr">
        <is>
          <t>CONFIRMED</t>
        </is>
      </c>
      <c r="I163" s="24" t="n">
        <v>50</v>
      </c>
      <c r="J163" s="25" t="inlineStr">
        <is>
          <t>Apply Here</t>
        </is>
      </c>
      <c r="K163" s="26" t="n"/>
      <c r="L163" s="26" t="n"/>
      <c r="M163" s="26" t="inlineStr">
        <is>
          <t>Pending</t>
        </is>
      </c>
      <c r="N163" s="27" t="n"/>
      <c r="O163" s="26" t="n"/>
    </row>
    <row r="164">
      <c r="A164" s="19" t="inlineStr">
        <is>
          <t>51f9f29c4223</t>
        </is>
      </c>
      <c r="B164" s="19" t="inlineStr">
        <is>
          <t>19/02/2026</t>
        </is>
      </c>
      <c r="C164" s="19" t="inlineStr">
        <is>
          <t>Plumber</t>
        </is>
      </c>
      <c r="D164" s="19" t="inlineStr">
        <is>
          <t>WATES PROPERTY SERVICES LIMITED</t>
        </is>
      </c>
      <c r="E164" s="19" t="inlineStr">
        <is>
          <t>Crawley, West Sussex</t>
        </is>
      </c>
      <c r="F164" s="19" t="inlineStr">
        <is>
          <t>£50,654 – £50,654</t>
        </is>
      </c>
      <c r="G164" s="19" t="inlineStr">
        <is>
          <t>Adzuna UK</t>
        </is>
      </c>
      <c r="H164" s="20" t="inlineStr">
        <is>
          <t>CONFIRMED</t>
        </is>
      </c>
      <c r="I164" s="19" t="n">
        <v>70</v>
      </c>
      <c r="J164" s="21" t="inlineStr">
        <is>
          <t>Apply Here</t>
        </is>
      </c>
      <c r="K164" s="22" t="n"/>
      <c r="L164" s="22" t="n"/>
      <c r="M164" s="22" t="inlineStr">
        <is>
          <t>Pending</t>
        </is>
      </c>
      <c r="N164" s="23" t="n"/>
      <c r="O164" s="22" t="n"/>
    </row>
    <row r="165">
      <c r="A165" s="24" t="inlineStr">
        <is>
          <t>4c40fc76ca52</t>
        </is>
      </c>
      <c r="B165" s="24" t="inlineStr">
        <is>
          <t>19/02/2026</t>
        </is>
      </c>
      <c r="C165" s="24" t="inlineStr">
        <is>
          <t>Drainage Engineer</t>
        </is>
      </c>
      <c r="D165" s="24" t="inlineStr">
        <is>
          <t>CHARTWELL</t>
        </is>
      </c>
      <c r="E165" s="24" t="inlineStr">
        <is>
          <t>Chatham, Kent</t>
        </is>
      </c>
      <c r="F165" s="24" t="inlineStr">
        <is>
          <t>£45,000 – £45,000</t>
        </is>
      </c>
      <c r="G165" s="24" t="inlineStr">
        <is>
          <t>Adzuna UK</t>
        </is>
      </c>
      <c r="H165" s="20" t="inlineStr">
        <is>
          <t>CONFIRMED</t>
        </is>
      </c>
      <c r="I165" s="24" t="n">
        <v>70</v>
      </c>
      <c r="J165" s="25" t="inlineStr">
        <is>
          <t>Apply Here</t>
        </is>
      </c>
      <c r="K165" s="26" t="n"/>
      <c r="L165" s="26" t="n"/>
      <c r="M165" s="26" t="inlineStr">
        <is>
          <t>Pending</t>
        </is>
      </c>
      <c r="N165" s="27" t="n"/>
      <c r="O165" s="26" t="n"/>
    </row>
    <row r="166">
      <c r="A166" s="19" t="inlineStr">
        <is>
          <t>e2c2c7b0ace7</t>
        </is>
      </c>
      <c r="B166" s="19" t="inlineStr">
        <is>
          <t>19/02/2026</t>
        </is>
      </c>
      <c r="C166" s="19" t="inlineStr">
        <is>
          <t>Drainage Engineer</t>
        </is>
      </c>
      <c r="D166" s="19" t="inlineStr">
        <is>
          <t>Reed</t>
        </is>
      </c>
      <c r="E166" s="19" t="inlineStr">
        <is>
          <t>London, UK</t>
        </is>
      </c>
      <c r="F166" s="19" t="inlineStr">
        <is>
          <t>£40,000 – £50,000</t>
        </is>
      </c>
      <c r="G166" s="19" t="inlineStr">
        <is>
          <t>Adzuna UK</t>
        </is>
      </c>
      <c r="H166" s="20" t="inlineStr">
        <is>
          <t>CONFIRMED</t>
        </is>
      </c>
      <c r="I166" s="19" t="n">
        <v>70</v>
      </c>
      <c r="J166" s="21" t="inlineStr">
        <is>
          <t>Apply Here</t>
        </is>
      </c>
      <c r="K166" s="22" t="n"/>
      <c r="L166" s="22" t="n"/>
      <c r="M166" s="22" t="inlineStr">
        <is>
          <t>Pending</t>
        </is>
      </c>
      <c r="N166" s="23" t="n"/>
      <c r="O166" s="22" t="n"/>
    </row>
    <row r="167">
      <c r="A167" s="24" t="inlineStr">
        <is>
          <t>20ab822ee732</t>
        </is>
      </c>
      <c r="B167" s="24" t="inlineStr">
        <is>
          <t>19/02/2026</t>
        </is>
      </c>
      <c r="C167" s="24" t="inlineStr">
        <is>
          <t>Civil Infrastructure Engineer</t>
        </is>
      </c>
      <c r="D167" s="24" t="inlineStr">
        <is>
          <t>Zodiac Recruitment</t>
        </is>
      </c>
      <c r="E167" s="24" t="inlineStr">
        <is>
          <t>Stone Cross, Crowborough</t>
        </is>
      </c>
      <c r="F167" s="24" t="inlineStr">
        <is>
          <t>£32,000 – £44,000</t>
        </is>
      </c>
      <c r="G167" s="24" t="inlineStr">
        <is>
          <t>Adzuna UK</t>
        </is>
      </c>
      <c r="H167" s="20" t="inlineStr">
        <is>
          <t>CONFIRMED</t>
        </is>
      </c>
      <c r="I167" s="24" t="n">
        <v>70</v>
      </c>
      <c r="J167" s="25" t="inlineStr">
        <is>
          <t>Apply Here</t>
        </is>
      </c>
      <c r="K167" s="26" t="n"/>
      <c r="L167" s="26" t="n"/>
      <c r="M167" s="26" t="inlineStr">
        <is>
          <t>Pending</t>
        </is>
      </c>
      <c r="N167" s="27" t="n"/>
      <c r="O167" s="26" t="n"/>
    </row>
    <row r="168">
      <c r="A168" s="19" t="inlineStr">
        <is>
          <t>87ceadb33ae1</t>
        </is>
      </c>
      <c r="B168" s="19" t="inlineStr">
        <is>
          <t>19/02/2026</t>
        </is>
      </c>
      <c r="C168" s="19" t="inlineStr">
        <is>
          <t>Drainage Engineer</t>
        </is>
      </c>
      <c r="D168" s="19" t="inlineStr">
        <is>
          <t>Ernest Gordon Recruitment</t>
        </is>
      </c>
      <c r="E168" s="19" t="inlineStr">
        <is>
          <t>South Croydon, South East London</t>
        </is>
      </c>
      <c r="F168" s="19" t="inlineStr">
        <is>
          <t>£45,000 – £45,000</t>
        </is>
      </c>
      <c r="G168" s="19" t="inlineStr">
        <is>
          <t>Adzuna UK</t>
        </is>
      </c>
      <c r="H168" s="20" t="inlineStr">
        <is>
          <t>CONFIRMED</t>
        </is>
      </c>
      <c r="I168" s="19" t="n">
        <v>70</v>
      </c>
      <c r="J168" s="21" t="inlineStr">
        <is>
          <t>Apply Here</t>
        </is>
      </c>
      <c r="K168" s="22" t="n"/>
      <c r="L168" s="22" t="n"/>
      <c r="M168" s="22" t="inlineStr">
        <is>
          <t>Pending</t>
        </is>
      </c>
      <c r="N168" s="23" t="n"/>
      <c r="O168" s="22" t="n"/>
    </row>
    <row r="169">
      <c r="A169" s="24" t="inlineStr">
        <is>
          <t>699023f27473</t>
        </is>
      </c>
      <c r="B169" s="24" t="inlineStr">
        <is>
          <t>19/02/2026</t>
        </is>
      </c>
      <c r="C169" s="24" t="inlineStr">
        <is>
          <t>Drainage Engineer</t>
        </is>
      </c>
      <c r="D169" s="24" t="inlineStr">
        <is>
          <t>Ernest Gordon Recruitment Limited</t>
        </is>
      </c>
      <c r="E169" s="24" t="inlineStr">
        <is>
          <t>South Croydon, South East London</t>
        </is>
      </c>
      <c r="F169" s="24" t="inlineStr">
        <is>
          <t>£35,000 – £45,000</t>
        </is>
      </c>
      <c r="G169" s="24" t="inlineStr">
        <is>
          <t>Adzuna UK</t>
        </is>
      </c>
      <c r="H169" s="20" t="inlineStr">
        <is>
          <t>CONFIRMED</t>
        </is>
      </c>
      <c r="I169" s="24" t="n">
        <v>70</v>
      </c>
      <c r="J169" s="25" t="inlineStr">
        <is>
          <t>Apply Here</t>
        </is>
      </c>
      <c r="K169" s="26" t="n"/>
      <c r="L169" s="26" t="n"/>
      <c r="M169" s="26" t="inlineStr">
        <is>
          <t>Pending</t>
        </is>
      </c>
      <c r="N169" s="27" t="n"/>
      <c r="O169" s="26" t="n"/>
    </row>
    <row r="170">
      <c r="A170" s="19" t="inlineStr">
        <is>
          <t>4b2b71c82a9c</t>
        </is>
      </c>
      <c r="B170" s="19" t="inlineStr">
        <is>
          <t>19/02/2026</t>
        </is>
      </c>
      <c r="C170" s="19" t="inlineStr">
        <is>
          <t>Drainage Engineer</t>
        </is>
      </c>
      <c r="D170" s="19" t="inlineStr">
        <is>
          <t>Ernest Gordon Recruitment Limited</t>
        </is>
      </c>
      <c r="E170" s="19" t="inlineStr">
        <is>
          <t>Croydon, London</t>
        </is>
      </c>
      <c r="F170" s="19" t="inlineStr">
        <is>
          <t>£35,000 – £45,000</t>
        </is>
      </c>
      <c r="G170" s="19" t="inlineStr">
        <is>
          <t>Adzuna UK</t>
        </is>
      </c>
      <c r="H170" s="20" t="inlineStr">
        <is>
          <t>CONFIRMED</t>
        </is>
      </c>
      <c r="I170" s="19" t="n">
        <v>70</v>
      </c>
      <c r="J170" s="21" t="inlineStr">
        <is>
          <t>Apply Here</t>
        </is>
      </c>
      <c r="K170" s="22" t="n"/>
      <c r="L170" s="22" t="n"/>
      <c r="M170" s="22" t="inlineStr">
        <is>
          <t>Pending</t>
        </is>
      </c>
      <c r="N170" s="23" t="n"/>
      <c r="O170" s="22" t="n"/>
    </row>
    <row r="171">
      <c r="A171" s="24" t="inlineStr">
        <is>
          <t>16c6d8aed40d</t>
        </is>
      </c>
      <c r="B171" s="24" t="inlineStr">
        <is>
          <t>19/02/2026</t>
        </is>
      </c>
      <c r="C171" s="24" t="inlineStr">
        <is>
          <t>Senior Water Network Engineer/Modellers</t>
        </is>
      </c>
      <c r="D171" s="24" t="inlineStr">
        <is>
          <t>Jacobs</t>
        </is>
      </c>
      <c r="E171" s="24" t="inlineStr">
        <is>
          <t>Reading, Berkshire</t>
        </is>
      </c>
      <c r="F171" s="24" t="inlineStr">
        <is>
          <t>£50,253 – £50,253</t>
        </is>
      </c>
      <c r="G171" s="24" t="inlineStr">
        <is>
          <t>Adzuna UK</t>
        </is>
      </c>
      <c r="H171" s="20" t="inlineStr">
        <is>
          <t>CONFIRMED</t>
        </is>
      </c>
      <c r="I171" s="24" t="n">
        <v>65</v>
      </c>
      <c r="J171" s="25" t="inlineStr">
        <is>
          <t>Apply Here</t>
        </is>
      </c>
      <c r="K171" s="26" t="n"/>
      <c r="L171" s="26" t="n"/>
      <c r="M171" s="26" t="inlineStr">
        <is>
          <t>Pending</t>
        </is>
      </c>
      <c r="N171" s="27" t="n"/>
      <c r="O171" s="26" t="n"/>
    </row>
    <row r="172">
      <c r="A172" s="19" t="inlineStr">
        <is>
          <t>58e2d4977e31</t>
        </is>
      </c>
      <c r="B172" s="19" t="inlineStr">
        <is>
          <t>19/02/2026</t>
        </is>
      </c>
      <c r="C172" s="19" t="inlineStr">
        <is>
          <t>Hydraulics Engineers - UK Wide</t>
        </is>
      </c>
      <c r="D172" s="19" t="inlineStr">
        <is>
          <t>Jacobs</t>
        </is>
      </c>
      <c r="E172" s="19" t="inlineStr">
        <is>
          <t>Reading, Berkshire</t>
        </is>
      </c>
      <c r="F172" s="19" t="inlineStr">
        <is>
          <t>£48,252 – £48,252</t>
        </is>
      </c>
      <c r="G172" s="19" t="inlineStr">
        <is>
          <t>Adzuna UK</t>
        </is>
      </c>
      <c r="H172" s="20" t="inlineStr">
        <is>
          <t>CONFIRMED</t>
        </is>
      </c>
      <c r="I172" s="19" t="n">
        <v>65</v>
      </c>
      <c r="J172" s="21" t="inlineStr">
        <is>
          <t>Apply Here</t>
        </is>
      </c>
      <c r="K172" s="22" t="n"/>
      <c r="L172" s="22" t="n"/>
      <c r="M172" s="22" t="inlineStr">
        <is>
          <t>Pending</t>
        </is>
      </c>
      <c r="N172" s="23" t="n"/>
      <c r="O172" s="22" t="n"/>
    </row>
    <row r="173">
      <c r="A173" s="24" t="inlineStr">
        <is>
          <t>0ffe66b77d22</t>
        </is>
      </c>
      <c r="B173" s="24" t="inlineStr">
        <is>
          <t>19/02/2026</t>
        </is>
      </c>
      <c r="C173" s="24" t="inlineStr">
        <is>
          <t>Hydraulics Engineers - UK Wide</t>
        </is>
      </c>
      <c r="D173" s="24" t="inlineStr">
        <is>
          <t>Jacobs</t>
        </is>
      </c>
      <c r="E173" s="24" t="inlineStr">
        <is>
          <t>London, UK</t>
        </is>
      </c>
      <c r="F173" s="24" t="inlineStr">
        <is>
          <t>£49,369 – £49,369</t>
        </is>
      </c>
      <c r="G173" s="24" t="inlineStr">
        <is>
          <t>Adzuna UK</t>
        </is>
      </c>
      <c r="H173" s="20" t="inlineStr">
        <is>
          <t>CONFIRMED</t>
        </is>
      </c>
      <c r="I173" s="24" t="n">
        <v>65</v>
      </c>
      <c r="J173" s="25" t="inlineStr">
        <is>
          <t>Apply Here</t>
        </is>
      </c>
      <c r="K173" s="26" t="n"/>
      <c r="L173" s="26" t="n"/>
      <c r="M173" s="26" t="inlineStr">
        <is>
          <t>Pending</t>
        </is>
      </c>
      <c r="N173" s="27" t="n"/>
      <c r="O173" s="26" t="n"/>
    </row>
    <row r="174">
      <c r="A174" s="19" t="inlineStr">
        <is>
          <t>71b8c7196cec</t>
        </is>
      </c>
      <c r="B174" s="19" t="inlineStr">
        <is>
          <t>19/02/2026</t>
        </is>
      </c>
      <c r="C174" s="19" t="inlineStr">
        <is>
          <t>Senior Civil Engineer</t>
        </is>
      </c>
      <c r="D174" s="19" t="inlineStr">
        <is>
          <t>Penguin Recruitment</t>
        </is>
      </c>
      <c r="E174" s="19" t="inlineStr">
        <is>
          <t>Denner Hill, Great Missenden</t>
        </is>
      </c>
      <c r="F174" s="19" t="inlineStr">
        <is>
          <t>£38,000 – £60,000</t>
        </is>
      </c>
      <c r="G174" s="19" t="inlineStr">
        <is>
          <t>Adzuna UK</t>
        </is>
      </c>
      <c r="H174" s="20" t="inlineStr">
        <is>
          <t>CONFIRMED</t>
        </is>
      </c>
      <c r="I174" s="19" t="n">
        <v>60</v>
      </c>
      <c r="J174" s="21" t="inlineStr">
        <is>
          <t>Apply Here</t>
        </is>
      </c>
      <c r="K174" s="22" t="n"/>
      <c r="L174" s="22" t="n"/>
      <c r="M174" s="22" t="inlineStr">
        <is>
          <t>Pending</t>
        </is>
      </c>
      <c r="N174" s="23" t="n"/>
      <c r="O174" s="22" t="n"/>
    </row>
    <row r="175">
      <c r="A175" s="24" t="inlineStr">
        <is>
          <t>4f3fee809113</t>
        </is>
      </c>
      <c r="B175" s="24" t="inlineStr">
        <is>
          <t>19/02/2026</t>
        </is>
      </c>
      <c r="C175" s="24" t="inlineStr">
        <is>
          <t>Assistant Quantity Surveyor / Estimator - Civil Engineering</t>
        </is>
      </c>
      <c r="D175" s="24" t="inlineStr">
        <is>
          <t>Henley Chase</t>
        </is>
      </c>
      <c r="E175" s="24" t="inlineStr">
        <is>
          <t>New Haw, Addlestone</t>
        </is>
      </c>
      <c r="F175" s="24" t="inlineStr">
        <is>
          <t>£30,000 – £50,000</t>
        </is>
      </c>
      <c r="G175" s="24" t="inlineStr">
        <is>
          <t>Adzuna UK</t>
        </is>
      </c>
      <c r="H175" s="20" t="inlineStr">
        <is>
          <t>CONFIRMED</t>
        </is>
      </c>
      <c r="I175" s="24" t="n">
        <v>60</v>
      </c>
      <c r="J175" s="25" t="inlineStr">
        <is>
          <t>Apply Here</t>
        </is>
      </c>
      <c r="K175" s="26" t="n"/>
      <c r="L175" s="26" t="n"/>
      <c r="M175" s="26" t="inlineStr">
        <is>
          <t>Pending</t>
        </is>
      </c>
      <c r="N175" s="27" t="n"/>
      <c r="O175" s="26" t="n"/>
    </row>
    <row r="176">
      <c r="A176" s="19" t="inlineStr">
        <is>
          <t>cd35957461e4</t>
        </is>
      </c>
      <c r="B176" s="19" t="inlineStr">
        <is>
          <t>19/02/2026</t>
        </is>
      </c>
      <c r="C176" s="19" t="inlineStr">
        <is>
          <t>Junior Quantity Surveyor / Estimator - Civil Engineering</t>
        </is>
      </c>
      <c r="D176" s="19" t="inlineStr">
        <is>
          <t>Henley Chase Limited</t>
        </is>
      </c>
      <c r="E176" s="19" t="inlineStr">
        <is>
          <t>Addlestone, Surrey</t>
        </is>
      </c>
      <c r="F176" s="19" t="inlineStr">
        <is>
          <t>£30,000 – £50,000</t>
        </is>
      </c>
      <c r="G176" s="19" t="inlineStr">
        <is>
          <t>Adzuna UK</t>
        </is>
      </c>
      <c r="H176" s="20" t="inlineStr">
        <is>
          <t>CONFIRMED</t>
        </is>
      </c>
      <c r="I176" s="19" t="n">
        <v>60</v>
      </c>
      <c r="J176" s="21" t="inlineStr">
        <is>
          <t>Apply Here</t>
        </is>
      </c>
      <c r="K176" s="22" t="n"/>
      <c r="L176" s="22" t="n"/>
      <c r="M176" s="22" t="inlineStr">
        <is>
          <t>Pending</t>
        </is>
      </c>
      <c r="N176" s="23" t="n"/>
      <c r="O176" s="22" t="n"/>
    </row>
    <row r="177">
      <c r="A177" s="24" t="inlineStr">
        <is>
          <t>cd45547cceb7</t>
        </is>
      </c>
      <c r="B177" s="24" t="inlineStr">
        <is>
          <t>19/02/2026</t>
        </is>
      </c>
      <c r="C177" s="24" t="inlineStr">
        <is>
          <t>Senior Engineer - Flood Risk &amp; Drainage</t>
        </is>
      </c>
      <c r="D177" s="24" t="inlineStr">
        <is>
          <t>Aztrum</t>
        </is>
      </c>
      <c r="E177" s="24" t="inlineStr">
        <is>
          <t>Ash Vale, Aldershot</t>
        </is>
      </c>
      <c r="F177" s="24" t="inlineStr">
        <is>
          <t>£45,000 – £55,000</t>
        </is>
      </c>
      <c r="G177" s="24" t="inlineStr">
        <is>
          <t>Adzuna UK</t>
        </is>
      </c>
      <c r="H177" s="20" t="inlineStr">
        <is>
          <t>CONFIRMED</t>
        </is>
      </c>
      <c r="I177" s="24" t="n">
        <v>60</v>
      </c>
      <c r="J177" s="25" t="inlineStr">
        <is>
          <t>Apply Here</t>
        </is>
      </c>
      <c r="K177" s="26" t="n"/>
      <c r="L177" s="26" t="n"/>
      <c r="M177" s="26" t="inlineStr">
        <is>
          <t>Pending</t>
        </is>
      </c>
      <c r="N177" s="27" t="n"/>
      <c r="O177" s="26" t="n"/>
    </row>
    <row r="178">
      <c r="A178" s="19" t="inlineStr">
        <is>
          <t>8794def23e7f</t>
        </is>
      </c>
      <c r="B178" s="19" t="inlineStr">
        <is>
          <t>19/02/2026</t>
        </is>
      </c>
      <c r="C178" s="19" t="inlineStr">
        <is>
          <t>Mechanical Design Engineer - Water Sector</t>
        </is>
      </c>
      <c r="D178" s="19" t="inlineStr">
        <is>
          <t>Murray McIntosh Recruitment Consultancy</t>
        </is>
      </c>
      <c r="E178" s="19" t="inlineStr">
        <is>
          <t>Fleet, Hampshire</t>
        </is>
      </c>
      <c r="F178" s="19" t="inlineStr">
        <is>
          <t>£40,000 – £50,000</t>
        </is>
      </c>
      <c r="G178" s="19" t="inlineStr">
        <is>
          <t>Adzuna UK</t>
        </is>
      </c>
      <c r="H178" s="20" t="inlineStr">
        <is>
          <t>CONFIRMED</t>
        </is>
      </c>
      <c r="I178" s="19" t="n">
        <v>55</v>
      </c>
      <c r="J178" s="21" t="inlineStr">
        <is>
          <t>Apply Here</t>
        </is>
      </c>
      <c r="K178" s="22" t="n"/>
      <c r="L178" s="22" t="n"/>
      <c r="M178" s="22" t="inlineStr">
        <is>
          <t>Pending</t>
        </is>
      </c>
      <c r="N178" s="23" t="n"/>
      <c r="O178" s="22" t="n"/>
    </row>
    <row r="179">
      <c r="A179" s="24" t="inlineStr">
        <is>
          <t>12db784117dd</t>
        </is>
      </c>
      <c r="B179" s="24" t="inlineStr">
        <is>
          <t>19/02/2026</t>
        </is>
      </c>
      <c r="C179" s="24" t="inlineStr">
        <is>
          <t>Mechanical Design Engineer - Water Sector</t>
        </is>
      </c>
      <c r="D179" s="24" t="inlineStr">
        <is>
          <t>Murray McIntosh Associates Ltd</t>
        </is>
      </c>
      <c r="E179" s="24" t="inlineStr">
        <is>
          <t>Artington, Guildford</t>
        </is>
      </c>
      <c r="F179" s="24" t="inlineStr">
        <is>
          <t>£40,000 – £50,000</t>
        </is>
      </c>
      <c r="G179" s="24" t="inlineStr">
        <is>
          <t>Adzuna UK</t>
        </is>
      </c>
      <c r="H179" s="20" t="inlineStr">
        <is>
          <t>CONFIRMED</t>
        </is>
      </c>
      <c r="I179" s="24" t="n">
        <v>55</v>
      </c>
      <c r="J179" s="25" t="inlineStr">
        <is>
          <t>Apply Here</t>
        </is>
      </c>
      <c r="K179" s="26" t="n"/>
      <c r="L179" s="26" t="n"/>
      <c r="M179" s="26" t="inlineStr">
        <is>
          <t>Pending</t>
        </is>
      </c>
      <c r="N179" s="27" t="n"/>
      <c r="O179" s="26" t="n"/>
    </row>
    <row r="180">
      <c r="A180" s="19" t="inlineStr">
        <is>
          <t>cda8ebd585d1</t>
        </is>
      </c>
      <c r="B180" s="19" t="inlineStr">
        <is>
          <t>19/02/2026</t>
        </is>
      </c>
      <c r="C180" s="19" t="inlineStr">
        <is>
          <t>Drainage Design Engineer</t>
        </is>
      </c>
      <c r="D180" s="19" t="inlineStr">
        <is>
          <t>Pave Recruit</t>
        </is>
      </c>
      <c r="E180" s="19" t="inlineStr">
        <is>
          <t>Richmond, West London</t>
        </is>
      </c>
      <c r="F180" s="19" t="inlineStr">
        <is>
          <t>£38,000 – £44,000</t>
        </is>
      </c>
      <c r="G180" s="19" t="inlineStr">
        <is>
          <t>Adzuna UK</t>
        </is>
      </c>
      <c r="H180" s="20" t="inlineStr">
        <is>
          <t>CONFIRMED</t>
        </is>
      </c>
      <c r="I180" s="19" t="n">
        <v>55</v>
      </c>
      <c r="J180" s="21" t="inlineStr">
        <is>
          <t>Apply Here</t>
        </is>
      </c>
      <c r="K180" s="22" t="n"/>
      <c r="L180" s="22" t="n"/>
      <c r="M180" s="22" t="inlineStr">
        <is>
          <t>Pending</t>
        </is>
      </c>
      <c r="N180" s="23" t="n"/>
      <c r="O180" s="22" t="n"/>
    </row>
    <row r="181">
      <c r="A181" s="24" t="inlineStr">
        <is>
          <t>80b9a90c8122</t>
        </is>
      </c>
      <c r="B181" s="24" t="inlineStr">
        <is>
          <t>19/02/2026</t>
        </is>
      </c>
      <c r="C181" s="24" t="inlineStr">
        <is>
          <t>Quality Engineer</t>
        </is>
      </c>
      <c r="D181" s="24" t="inlineStr">
        <is>
          <t>Rapiscan Systems</t>
        </is>
      </c>
      <c r="E181" s="24" t="inlineStr">
        <is>
          <t>Salfords, Redhill</t>
        </is>
      </c>
      <c r="F181" s="24" t="inlineStr">
        <is>
          <t>£46,683 – £46,683</t>
        </is>
      </c>
      <c r="G181" s="24" t="inlineStr">
        <is>
          <t>Adzuna UK</t>
        </is>
      </c>
      <c r="H181" s="20" t="inlineStr">
        <is>
          <t>CONFIRMED</t>
        </is>
      </c>
      <c r="I181" s="24" t="n">
        <v>55</v>
      </c>
      <c r="J181" s="25" t="inlineStr">
        <is>
          <t>Apply Here</t>
        </is>
      </c>
      <c r="K181" s="26" t="n"/>
      <c r="L181" s="26" t="n"/>
      <c r="M181" s="26" t="inlineStr">
        <is>
          <t>Pending</t>
        </is>
      </c>
      <c r="N181" s="27" t="n"/>
      <c r="O181" s="26" t="n"/>
    </row>
    <row r="182">
      <c r="A182" s="19" t="inlineStr">
        <is>
          <t>b1ee2f9b7501</t>
        </is>
      </c>
      <c r="B182" s="19" t="inlineStr">
        <is>
          <t>19/02/2026</t>
        </is>
      </c>
      <c r="C182" s="19" t="inlineStr">
        <is>
          <t>Assistant Engineer - Clean Water Modelling</t>
        </is>
      </c>
      <c r="D182" s="19" t="inlineStr">
        <is>
          <t>WSP</t>
        </is>
      </c>
      <c r="E182" s="19" t="inlineStr">
        <is>
          <t>Aldwych, Central London</t>
        </is>
      </c>
      <c r="F182" s="19" t="inlineStr">
        <is>
          <t>£45,719 – £45,719</t>
        </is>
      </c>
      <c r="G182" s="19" t="inlineStr">
        <is>
          <t>Adzuna UK</t>
        </is>
      </c>
      <c r="H182" s="20" t="inlineStr">
        <is>
          <t>CONFIRMED</t>
        </is>
      </c>
      <c r="I182" s="19" t="n">
        <v>55</v>
      </c>
      <c r="J182" s="21" t="inlineStr">
        <is>
          <t>Apply Here</t>
        </is>
      </c>
      <c r="K182" s="22" t="n"/>
      <c r="L182" s="22" t="n"/>
      <c r="M182" s="22" t="inlineStr">
        <is>
          <t>Pending</t>
        </is>
      </c>
      <c r="N182" s="23" t="n"/>
      <c r="O182" s="22" t="n"/>
    </row>
    <row r="183">
      <c r="A183" s="24" t="inlineStr">
        <is>
          <t>9143bf653260</t>
        </is>
      </c>
      <c r="B183" s="24" t="inlineStr">
        <is>
          <t>19/02/2026</t>
        </is>
      </c>
      <c r="C183" s="24" t="inlineStr">
        <is>
          <t>Pump Engineer</t>
        </is>
      </c>
      <c r="D183" s="24" t="inlineStr">
        <is>
          <t>Smart Search Technical Ltd</t>
        </is>
      </c>
      <c r="E183" s="24" t="inlineStr">
        <is>
          <t>Farringdon, Central London</t>
        </is>
      </c>
      <c r="F183" s="24" t="inlineStr">
        <is>
          <t>£35,000 – £45,000</t>
        </is>
      </c>
      <c r="G183" s="24" t="inlineStr">
        <is>
          <t>Adzuna UK</t>
        </is>
      </c>
      <c r="H183" s="20" t="inlineStr">
        <is>
          <t>CONFIRMED</t>
        </is>
      </c>
      <c r="I183" s="24" t="n">
        <v>55</v>
      </c>
      <c r="J183" s="25" t="inlineStr">
        <is>
          <t>Apply Here</t>
        </is>
      </c>
      <c r="K183" s="26" t="n"/>
      <c r="L183" s="26" t="n"/>
      <c r="M183" s="26" t="inlineStr">
        <is>
          <t>Pending</t>
        </is>
      </c>
      <c r="N183" s="27" t="n"/>
      <c r="O183" s="26" t="n"/>
    </row>
    <row r="184">
      <c r="A184" s="19" t="inlineStr">
        <is>
          <t>7457aa6c128f</t>
        </is>
      </c>
      <c r="B184" s="19" t="inlineStr">
        <is>
          <t>19/02/2026</t>
        </is>
      </c>
      <c r="C184" s="19" t="inlineStr">
        <is>
          <t>HGV Class 2 Tanker Driver – Drainage</t>
        </is>
      </c>
      <c r="D184" s="19" t="inlineStr">
        <is>
          <t>Excellis Consultancy</t>
        </is>
      </c>
      <c r="E184" s="19" t="inlineStr">
        <is>
          <t>Riverhead, Sevenoaks</t>
        </is>
      </c>
      <c r="F184" s="19" t="inlineStr">
        <is>
          <t>£45,000 – £48,000</t>
        </is>
      </c>
      <c r="G184" s="19" t="inlineStr">
        <is>
          <t>Adzuna UK</t>
        </is>
      </c>
      <c r="H184" s="20" t="inlineStr">
        <is>
          <t>CONFIRMED</t>
        </is>
      </c>
      <c r="I184" s="19" t="n">
        <v>55</v>
      </c>
      <c r="J184" s="21" t="inlineStr">
        <is>
          <t>Apply Here</t>
        </is>
      </c>
      <c r="K184" s="22" t="n"/>
      <c r="L184" s="22" t="n"/>
      <c r="M184" s="22" t="inlineStr">
        <is>
          <t>Pending</t>
        </is>
      </c>
      <c r="N184" s="23" t="n"/>
      <c r="O184" s="22" t="n"/>
    </row>
    <row r="185">
      <c r="A185" s="24" t="inlineStr">
        <is>
          <t>03b317594b43</t>
        </is>
      </c>
      <c r="B185" s="24" t="inlineStr">
        <is>
          <t>19/02/2026</t>
        </is>
      </c>
      <c r="C185" s="24" t="inlineStr">
        <is>
          <t>Drainage Design Engineer</t>
        </is>
      </c>
      <c r="D185" s="24" t="inlineStr">
        <is>
          <t>Pave Recruit</t>
        </is>
      </c>
      <c r="E185" s="24" t="inlineStr">
        <is>
          <t>Richmond, West London</t>
        </is>
      </c>
      <c r="F185" s="24" t="inlineStr">
        <is>
          <t>£38,000 – £44,000</t>
        </is>
      </c>
      <c r="G185" s="24" t="inlineStr">
        <is>
          <t>Adzuna UK</t>
        </is>
      </c>
      <c r="H185" s="20" t="inlineStr">
        <is>
          <t>CONFIRMED</t>
        </is>
      </c>
      <c r="I185" s="24" t="n">
        <v>55</v>
      </c>
      <c r="J185" s="25" t="inlineStr">
        <is>
          <t>Apply Here</t>
        </is>
      </c>
      <c r="K185" s="26" t="n"/>
      <c r="L185" s="26" t="n"/>
      <c r="M185" s="26" t="inlineStr">
        <is>
          <t>Pending</t>
        </is>
      </c>
      <c r="N185" s="27" t="n"/>
      <c r="O185" s="26" t="n"/>
    </row>
    <row r="186">
      <c r="A186" s="19" t="inlineStr">
        <is>
          <t>a056e12823ab</t>
        </is>
      </c>
      <c r="B186" s="19" t="inlineStr">
        <is>
          <t>19/02/2026</t>
        </is>
      </c>
      <c r="C186" s="19" t="inlineStr">
        <is>
          <t>Pollution Response Technician</t>
        </is>
      </c>
      <c r="D186" s="19" t="inlineStr">
        <is>
          <t>Lanes Group</t>
        </is>
      </c>
      <c r="E186" s="19" t="inlineStr">
        <is>
          <t>Tudeley, Tonbridge</t>
        </is>
      </c>
      <c r="F186" s="19" t="inlineStr">
        <is>
          <t>£54,416 – £54,416</t>
        </is>
      </c>
      <c r="G186" s="19" t="inlineStr">
        <is>
          <t>Adzuna UK</t>
        </is>
      </c>
      <c r="H186" s="20" t="inlineStr">
        <is>
          <t>CONFIRMED</t>
        </is>
      </c>
      <c r="I186" s="19" t="n">
        <v>55</v>
      </c>
      <c r="J186" s="21" t="inlineStr">
        <is>
          <t>Apply Here</t>
        </is>
      </c>
      <c r="K186" s="22" t="n"/>
      <c r="L186" s="22" t="n"/>
      <c r="M186" s="22" t="inlineStr">
        <is>
          <t>Pending</t>
        </is>
      </c>
      <c r="N186" s="23" t="n"/>
      <c r="O186" s="22" t="n"/>
    </row>
    <row r="187">
      <c r="A187" s="24" t="inlineStr">
        <is>
          <t>31f7f3b9406f</t>
        </is>
      </c>
      <c r="B187" s="24" t="inlineStr">
        <is>
          <t>20/02/2026</t>
        </is>
      </c>
      <c r="C187" s="24" t="inlineStr">
        <is>
          <t>Plumber</t>
        </is>
      </c>
      <c r="D187" s="24" t="inlineStr">
        <is>
          <t>WATES PROPERTY SERVICES LIMITED</t>
        </is>
      </c>
      <c r="E187" s="24" t="inlineStr">
        <is>
          <t>Crawley, West Sussex</t>
        </is>
      </c>
      <c r="F187" s="24" t="inlineStr">
        <is>
          <t>£50,654 – £50,654</t>
        </is>
      </c>
      <c r="G187" s="24" t="inlineStr">
        <is>
          <t>Adzuna UK</t>
        </is>
      </c>
      <c r="H187" s="20" t="inlineStr">
        <is>
          <t>CONFIRMED</t>
        </is>
      </c>
      <c r="I187" s="24" t="n">
        <v>70</v>
      </c>
      <c r="J187" s="25" t="inlineStr">
        <is>
          <t>Apply Here</t>
        </is>
      </c>
      <c r="K187" s="26" t="n"/>
      <c r="L187" s="26" t="n"/>
      <c r="M187" s="26" t="inlineStr">
        <is>
          <t>Pending</t>
        </is>
      </c>
      <c r="N187" s="27" t="n"/>
      <c r="O187" s="26" t="n"/>
    </row>
    <row r="188">
      <c r="A188" s="19" t="inlineStr">
        <is>
          <t>6dd4c3e62065</t>
        </is>
      </c>
      <c r="B188" s="19" t="inlineStr">
        <is>
          <t>20/02/2026</t>
        </is>
      </c>
      <c r="C188" s="19" t="inlineStr">
        <is>
          <t>Drainage Engineer</t>
        </is>
      </c>
      <c r="D188" s="19" t="inlineStr">
        <is>
          <t>CHARTWELL</t>
        </is>
      </c>
      <c r="E188" s="19" t="inlineStr">
        <is>
          <t>Chatham, Kent</t>
        </is>
      </c>
      <c r="F188" s="19" t="inlineStr">
        <is>
          <t>£45,000 – £45,000</t>
        </is>
      </c>
      <c r="G188" s="19" t="inlineStr">
        <is>
          <t>Adzuna UK</t>
        </is>
      </c>
      <c r="H188" s="20" t="inlineStr">
        <is>
          <t>CONFIRMED</t>
        </is>
      </c>
      <c r="I188" s="19" t="n">
        <v>70</v>
      </c>
      <c r="J188" s="21" t="inlineStr">
        <is>
          <t>Apply Here</t>
        </is>
      </c>
      <c r="K188" s="22" t="n"/>
      <c r="L188" s="22" t="n"/>
      <c r="M188" s="22" t="inlineStr">
        <is>
          <t>Pending</t>
        </is>
      </c>
      <c r="N188" s="23" t="n"/>
      <c r="O188" s="22" t="n"/>
    </row>
    <row r="189">
      <c r="A189" s="24" t="inlineStr">
        <is>
          <t>6c51ad52cabc</t>
        </is>
      </c>
      <c r="B189" s="24" t="inlineStr">
        <is>
          <t>20/02/2026</t>
        </is>
      </c>
      <c r="C189" s="24" t="inlineStr">
        <is>
          <t>Drainage Engineer</t>
        </is>
      </c>
      <c r="D189" s="24" t="inlineStr">
        <is>
          <t>Reed</t>
        </is>
      </c>
      <c r="E189" s="24" t="inlineStr">
        <is>
          <t>London, UK</t>
        </is>
      </c>
      <c r="F189" s="24" t="inlineStr">
        <is>
          <t>£40,000 – £50,000</t>
        </is>
      </c>
      <c r="G189" s="24" t="inlineStr">
        <is>
          <t>Adzuna UK</t>
        </is>
      </c>
      <c r="H189" s="20" t="inlineStr">
        <is>
          <t>CONFIRMED</t>
        </is>
      </c>
      <c r="I189" s="24" t="n">
        <v>70</v>
      </c>
      <c r="J189" s="25" t="inlineStr">
        <is>
          <t>Apply Here</t>
        </is>
      </c>
      <c r="K189" s="26" t="n"/>
      <c r="L189" s="26" t="n"/>
      <c r="M189" s="26" t="inlineStr">
        <is>
          <t>Pending</t>
        </is>
      </c>
      <c r="N189" s="27" t="n"/>
      <c r="O189" s="26" t="n"/>
    </row>
    <row r="190">
      <c r="A190" s="19" t="inlineStr">
        <is>
          <t>6905a3f9752c</t>
        </is>
      </c>
      <c r="B190" s="19" t="inlineStr">
        <is>
          <t>20/02/2026</t>
        </is>
      </c>
      <c r="C190" s="19" t="inlineStr">
        <is>
          <t>Civil Infrastructure Engineer</t>
        </is>
      </c>
      <c r="D190" s="19" t="inlineStr">
        <is>
          <t>Zodiac Recruitment</t>
        </is>
      </c>
      <c r="E190" s="19" t="inlineStr">
        <is>
          <t>Stone Cross, Crowborough</t>
        </is>
      </c>
      <c r="F190" s="19" t="inlineStr">
        <is>
          <t>£32,000 – £44,000</t>
        </is>
      </c>
      <c r="G190" s="19" t="inlineStr">
        <is>
          <t>Adzuna UK</t>
        </is>
      </c>
      <c r="H190" s="20" t="inlineStr">
        <is>
          <t>CONFIRMED</t>
        </is>
      </c>
      <c r="I190" s="19" t="n">
        <v>70</v>
      </c>
      <c r="J190" s="21" t="inlineStr">
        <is>
          <t>Apply Here</t>
        </is>
      </c>
      <c r="K190" s="22" t="n"/>
      <c r="L190" s="22" t="n"/>
      <c r="M190" s="22" t="inlineStr">
        <is>
          <t>Pending</t>
        </is>
      </c>
      <c r="N190" s="23" t="n"/>
      <c r="O190" s="22" t="n"/>
    </row>
    <row r="191">
      <c r="A191" s="24" t="inlineStr">
        <is>
          <t>f512db074604</t>
        </is>
      </c>
      <c r="B191" s="24" t="inlineStr">
        <is>
          <t>20/02/2026</t>
        </is>
      </c>
      <c r="C191" s="24" t="inlineStr">
        <is>
          <t>Drainage Engineer</t>
        </is>
      </c>
      <c r="D191" s="24" t="inlineStr">
        <is>
          <t>Ernest Gordon Recruitment</t>
        </is>
      </c>
      <c r="E191" s="24" t="inlineStr">
        <is>
          <t>South Croydon, South East London</t>
        </is>
      </c>
      <c r="F191" s="24" t="inlineStr">
        <is>
          <t>£45,000 – £45,000</t>
        </is>
      </c>
      <c r="G191" s="24" t="inlineStr">
        <is>
          <t>Adzuna UK</t>
        </is>
      </c>
      <c r="H191" s="20" t="inlineStr">
        <is>
          <t>CONFIRMED</t>
        </is>
      </c>
      <c r="I191" s="24" t="n">
        <v>70</v>
      </c>
      <c r="J191" s="25" t="inlineStr">
        <is>
          <t>Apply Here</t>
        </is>
      </c>
      <c r="K191" s="26" t="n"/>
      <c r="L191" s="26" t="n"/>
      <c r="M191" s="26" t="inlineStr">
        <is>
          <t>Pending</t>
        </is>
      </c>
      <c r="N191" s="27" t="n"/>
      <c r="O191" s="26" t="n"/>
    </row>
    <row r="192">
      <c r="A192" s="19" t="inlineStr">
        <is>
          <t>c4fa31606365</t>
        </is>
      </c>
      <c r="B192" s="19" t="inlineStr">
        <is>
          <t>20/02/2026</t>
        </is>
      </c>
      <c r="C192" s="19" t="inlineStr">
        <is>
          <t>Drainage Engineer</t>
        </is>
      </c>
      <c r="D192" s="19" t="inlineStr">
        <is>
          <t>Ernest Gordon Recruitment Limited</t>
        </is>
      </c>
      <c r="E192" s="19" t="inlineStr">
        <is>
          <t>South Croydon, South East London</t>
        </is>
      </c>
      <c r="F192" s="19" t="inlineStr">
        <is>
          <t>£35,000 – £45,000</t>
        </is>
      </c>
      <c r="G192" s="19" t="inlineStr">
        <is>
          <t>Adzuna UK</t>
        </is>
      </c>
      <c r="H192" s="20" t="inlineStr">
        <is>
          <t>CONFIRMED</t>
        </is>
      </c>
      <c r="I192" s="19" t="n">
        <v>70</v>
      </c>
      <c r="J192" s="21" t="inlineStr">
        <is>
          <t>Apply Here</t>
        </is>
      </c>
      <c r="K192" s="22" t="n"/>
      <c r="L192" s="22" t="n"/>
      <c r="M192" s="22" t="inlineStr">
        <is>
          <t>Pending</t>
        </is>
      </c>
      <c r="N192" s="23" t="n"/>
      <c r="O192" s="22" t="n"/>
    </row>
    <row r="193">
      <c r="A193" s="24" t="inlineStr">
        <is>
          <t>d5352509ed2f</t>
        </is>
      </c>
      <c r="B193" s="24" t="inlineStr">
        <is>
          <t>20/02/2026</t>
        </is>
      </c>
      <c r="C193" s="24" t="inlineStr">
        <is>
          <t>Drainage Engineer</t>
        </is>
      </c>
      <c r="D193" s="24" t="inlineStr">
        <is>
          <t>Ernest Gordon Recruitment Limited</t>
        </is>
      </c>
      <c r="E193" s="24" t="inlineStr">
        <is>
          <t>Croydon, London</t>
        </is>
      </c>
      <c r="F193" s="24" t="inlineStr">
        <is>
          <t>£35,000 – £45,000</t>
        </is>
      </c>
      <c r="G193" s="24" t="inlineStr">
        <is>
          <t>Adzuna UK</t>
        </is>
      </c>
      <c r="H193" s="20" t="inlineStr">
        <is>
          <t>CONFIRMED</t>
        </is>
      </c>
      <c r="I193" s="24" t="n">
        <v>70</v>
      </c>
      <c r="J193" s="25" t="inlineStr">
        <is>
          <t>Apply Here</t>
        </is>
      </c>
      <c r="K193" s="26" t="n"/>
      <c r="L193" s="26" t="n"/>
      <c r="M193" s="26" t="inlineStr">
        <is>
          <t>Pending</t>
        </is>
      </c>
      <c r="N193" s="27" t="n"/>
      <c r="O193" s="26" t="n"/>
    </row>
    <row r="194">
      <c r="A194" s="19" t="inlineStr">
        <is>
          <t>a88db1ef1454</t>
        </is>
      </c>
      <c r="B194" s="19" t="inlineStr">
        <is>
          <t>20/02/2026</t>
        </is>
      </c>
      <c r="C194" s="19" t="inlineStr">
        <is>
          <t>Senior Water Network Engineer/Modellers</t>
        </is>
      </c>
      <c r="D194" s="19" t="inlineStr">
        <is>
          <t>Jacobs</t>
        </is>
      </c>
      <c r="E194" s="19" t="inlineStr">
        <is>
          <t>Reading, Berkshire</t>
        </is>
      </c>
      <c r="F194" s="19" t="inlineStr">
        <is>
          <t>£50,253 – £50,253</t>
        </is>
      </c>
      <c r="G194" s="19" t="inlineStr">
        <is>
          <t>Adzuna UK</t>
        </is>
      </c>
      <c r="H194" s="20" t="inlineStr">
        <is>
          <t>CONFIRMED</t>
        </is>
      </c>
      <c r="I194" s="19" t="n">
        <v>65</v>
      </c>
      <c r="J194" s="21" t="inlineStr">
        <is>
          <t>Apply Here</t>
        </is>
      </c>
      <c r="K194" s="22" t="n"/>
      <c r="L194" s="22" t="n"/>
      <c r="M194" s="22" t="inlineStr">
        <is>
          <t>Pending</t>
        </is>
      </c>
      <c r="N194" s="23" t="n"/>
      <c r="O194" s="22" t="n"/>
    </row>
    <row r="195">
      <c r="A195" s="24" t="inlineStr">
        <is>
          <t>e93b54ea93b6</t>
        </is>
      </c>
      <c r="B195" s="24" t="inlineStr">
        <is>
          <t>20/02/2026</t>
        </is>
      </c>
      <c r="C195" s="24" t="inlineStr">
        <is>
          <t>Hydraulics Engineers - UK Wide</t>
        </is>
      </c>
      <c r="D195" s="24" t="inlineStr">
        <is>
          <t>Jacobs</t>
        </is>
      </c>
      <c r="E195" s="24" t="inlineStr">
        <is>
          <t>Reading, Berkshire</t>
        </is>
      </c>
      <c r="F195" s="24" t="inlineStr">
        <is>
          <t>£48,252 – £48,252</t>
        </is>
      </c>
      <c r="G195" s="24" t="inlineStr">
        <is>
          <t>Adzuna UK</t>
        </is>
      </c>
      <c r="H195" s="20" t="inlineStr">
        <is>
          <t>CONFIRMED</t>
        </is>
      </c>
      <c r="I195" s="24" t="n">
        <v>65</v>
      </c>
      <c r="J195" s="25" t="inlineStr">
        <is>
          <t>Apply Here</t>
        </is>
      </c>
      <c r="K195" s="26" t="n"/>
      <c r="L195" s="26" t="n"/>
      <c r="M195" s="26" t="inlineStr">
        <is>
          <t>Pending</t>
        </is>
      </c>
      <c r="N195" s="27" t="n"/>
      <c r="O195" s="26" t="n"/>
    </row>
    <row r="196">
      <c r="A196" s="19" t="inlineStr">
        <is>
          <t>9d4755cad6f6</t>
        </is>
      </c>
      <c r="B196" s="19" t="inlineStr">
        <is>
          <t>20/02/2026</t>
        </is>
      </c>
      <c r="C196" s="19" t="inlineStr">
        <is>
          <t>Hydraulics Engineers - UK Wide</t>
        </is>
      </c>
      <c r="D196" s="19" t="inlineStr">
        <is>
          <t>Jacobs</t>
        </is>
      </c>
      <c r="E196" s="19" t="inlineStr">
        <is>
          <t>London, UK</t>
        </is>
      </c>
      <c r="F196" s="19" t="inlineStr">
        <is>
          <t>£49,369 – £49,369</t>
        </is>
      </c>
      <c r="G196" s="19" t="inlineStr">
        <is>
          <t>Adzuna UK</t>
        </is>
      </c>
      <c r="H196" s="20" t="inlineStr">
        <is>
          <t>CONFIRMED</t>
        </is>
      </c>
      <c r="I196" s="19" t="n">
        <v>65</v>
      </c>
      <c r="J196" s="21" t="inlineStr">
        <is>
          <t>Apply Here</t>
        </is>
      </c>
      <c r="K196" s="22" t="n"/>
      <c r="L196" s="22" t="n"/>
      <c r="M196" s="22" t="inlineStr">
        <is>
          <t>Pending</t>
        </is>
      </c>
      <c r="N196" s="23" t="n"/>
      <c r="O196" s="22" t="n"/>
    </row>
    <row r="197">
      <c r="A197" s="24" t="inlineStr">
        <is>
          <t>007e8b5e0aec</t>
        </is>
      </c>
      <c r="B197" s="24" t="inlineStr">
        <is>
          <t>20/02/2026</t>
        </is>
      </c>
      <c r="C197" s="24" t="inlineStr">
        <is>
          <t>Senior Electrical Engineer - Water Projects</t>
        </is>
      </c>
      <c r="D197" s="24" t="inlineStr">
        <is>
          <t>AECOM</t>
        </is>
      </c>
      <c r="E197" s="24" t="inlineStr">
        <is>
          <t>Croydon, London</t>
        </is>
      </c>
      <c r="F197" s="24" t="inlineStr">
        <is>
          <t>£51,555 – £51,555</t>
        </is>
      </c>
      <c r="G197" s="24" t="inlineStr">
        <is>
          <t>Adzuna UK</t>
        </is>
      </c>
      <c r="H197" s="20" t="inlineStr">
        <is>
          <t>CONFIRMED</t>
        </is>
      </c>
      <c r="I197" s="24" t="n">
        <v>60</v>
      </c>
      <c r="J197" s="25" t="inlineStr">
        <is>
          <t>Apply Here</t>
        </is>
      </c>
      <c r="K197" s="26" t="n"/>
      <c r="L197" s="26" t="n"/>
      <c r="M197" s="26" t="inlineStr">
        <is>
          <t>Pending</t>
        </is>
      </c>
      <c r="N197" s="27" t="n"/>
      <c r="O197" s="26" t="n"/>
    </row>
    <row r="198">
      <c r="A198" s="19" t="inlineStr">
        <is>
          <t>219d65ccdf91</t>
        </is>
      </c>
      <c r="B198" s="19" t="inlineStr">
        <is>
          <t>20/02/2026</t>
        </is>
      </c>
      <c r="C198" s="19" t="inlineStr">
        <is>
          <t>Senior Electrical Engineer - Water Projects</t>
        </is>
      </c>
      <c r="D198" s="19" t="inlineStr">
        <is>
          <t>AECOM</t>
        </is>
      </c>
      <c r="E198" s="19" t="inlineStr">
        <is>
          <t>St. Albans, Hertfordshire</t>
        </is>
      </c>
      <c r="F198" s="19" t="inlineStr">
        <is>
          <t>£52,221 – £52,221</t>
        </is>
      </c>
      <c r="G198" s="19" t="inlineStr">
        <is>
          <t>Adzuna UK</t>
        </is>
      </c>
      <c r="H198" s="20" t="inlineStr">
        <is>
          <t>CONFIRMED</t>
        </is>
      </c>
      <c r="I198" s="19" t="n">
        <v>60</v>
      </c>
      <c r="J198" s="21" t="inlineStr">
        <is>
          <t>Apply Here</t>
        </is>
      </c>
      <c r="K198" s="22" t="n"/>
      <c r="L198" s="22" t="n"/>
      <c r="M198" s="22" t="inlineStr">
        <is>
          <t>Pending</t>
        </is>
      </c>
      <c r="N198" s="23" t="n"/>
      <c r="O198" s="22" t="n"/>
    </row>
    <row r="199">
      <c r="A199" s="24" t="inlineStr">
        <is>
          <t>5e7fe1b5a3e8</t>
        </is>
      </c>
      <c r="B199" s="24" t="inlineStr">
        <is>
          <t>20/02/2026</t>
        </is>
      </c>
      <c r="C199" s="24" t="inlineStr">
        <is>
          <t>Senior Electrical Engineer - Water Projects</t>
        </is>
      </c>
      <c r="D199" s="24" t="inlineStr">
        <is>
          <t>AECOM</t>
        </is>
      </c>
      <c r="E199" s="24" t="inlineStr">
        <is>
          <t>London, UK</t>
        </is>
      </c>
      <c r="F199" s="24" t="inlineStr">
        <is>
          <t>£53,100 – £53,100</t>
        </is>
      </c>
      <c r="G199" s="24" t="inlineStr">
        <is>
          <t>Adzuna UK</t>
        </is>
      </c>
      <c r="H199" s="20" t="inlineStr">
        <is>
          <t>CONFIRMED</t>
        </is>
      </c>
      <c r="I199" s="24" t="n">
        <v>60</v>
      </c>
      <c r="J199" s="25" t="inlineStr">
        <is>
          <t>Apply Here</t>
        </is>
      </c>
      <c r="K199" s="26" t="n"/>
      <c r="L199" s="26" t="n"/>
      <c r="M199" s="26" t="inlineStr">
        <is>
          <t>Pending</t>
        </is>
      </c>
      <c r="N199" s="27" t="n"/>
      <c r="O199" s="26" t="n"/>
    </row>
    <row r="200">
      <c r="A200" s="19" t="inlineStr">
        <is>
          <t>dd2b666dd790</t>
        </is>
      </c>
      <c r="B200" s="19" t="inlineStr">
        <is>
          <t>20/02/2026</t>
        </is>
      </c>
      <c r="C200" s="19" t="inlineStr">
        <is>
          <t>Senior Civil Engineer</t>
        </is>
      </c>
      <c r="D200" s="19" t="inlineStr">
        <is>
          <t>Penguin Recruitment</t>
        </is>
      </c>
      <c r="E200" s="19" t="inlineStr">
        <is>
          <t>Denner Hill, Great Missenden</t>
        </is>
      </c>
      <c r="F200" s="19" t="inlineStr">
        <is>
          <t>£38,000 – £60,000</t>
        </is>
      </c>
      <c r="G200" s="19" t="inlineStr">
        <is>
          <t>Adzuna UK</t>
        </is>
      </c>
      <c r="H200" s="20" t="inlineStr">
        <is>
          <t>CONFIRMED</t>
        </is>
      </c>
      <c r="I200" s="19" t="n">
        <v>60</v>
      </c>
      <c r="J200" s="21" t="inlineStr">
        <is>
          <t>Apply Here</t>
        </is>
      </c>
      <c r="K200" s="22" t="n"/>
      <c r="L200" s="22" t="n"/>
      <c r="M200" s="22" t="inlineStr">
        <is>
          <t>Pending</t>
        </is>
      </c>
      <c r="N200" s="23" t="n"/>
      <c r="O200" s="22" t="n"/>
    </row>
    <row r="201">
      <c r="A201" s="24" t="inlineStr">
        <is>
          <t>0d14cc1a2fbf</t>
        </is>
      </c>
      <c r="B201" s="24" t="inlineStr">
        <is>
          <t>20/02/2026</t>
        </is>
      </c>
      <c r="C201" s="24" t="inlineStr">
        <is>
          <t>Assistant Quantity Surveyor / Estimator - Civil Engineering</t>
        </is>
      </c>
      <c r="D201" s="24" t="inlineStr">
        <is>
          <t>Henley Chase</t>
        </is>
      </c>
      <c r="E201" s="24" t="inlineStr">
        <is>
          <t>New Haw, Addlestone</t>
        </is>
      </c>
      <c r="F201" s="24" t="inlineStr">
        <is>
          <t>£30,000 – £50,000</t>
        </is>
      </c>
      <c r="G201" s="24" t="inlineStr">
        <is>
          <t>Adzuna UK</t>
        </is>
      </c>
      <c r="H201" s="20" t="inlineStr">
        <is>
          <t>CONFIRMED</t>
        </is>
      </c>
      <c r="I201" s="24" t="n">
        <v>60</v>
      </c>
      <c r="J201" s="25" t="inlineStr">
        <is>
          <t>Apply Here</t>
        </is>
      </c>
      <c r="K201" s="26" t="n"/>
      <c r="L201" s="26" t="n"/>
      <c r="M201" s="26" t="inlineStr">
        <is>
          <t>Pending</t>
        </is>
      </c>
      <c r="N201" s="27" t="n"/>
      <c r="O201" s="26" t="n"/>
    </row>
    <row r="202">
      <c r="A202" s="19" t="inlineStr">
        <is>
          <t>2d1a4f6cd27f</t>
        </is>
      </c>
      <c r="B202" s="19" t="inlineStr">
        <is>
          <t>20/02/2026</t>
        </is>
      </c>
      <c r="C202" s="19" t="inlineStr">
        <is>
          <t>Junior Quantity Surveyor / Estimator - Civil Engineering</t>
        </is>
      </c>
      <c r="D202" s="19" t="inlineStr">
        <is>
          <t>Henley Chase Limited</t>
        </is>
      </c>
      <c r="E202" s="19" t="inlineStr">
        <is>
          <t>Addlestone, Surrey</t>
        </is>
      </c>
      <c r="F202" s="19" t="inlineStr">
        <is>
          <t>£30,000 – £50,000</t>
        </is>
      </c>
      <c r="G202" s="19" t="inlineStr">
        <is>
          <t>Adzuna UK</t>
        </is>
      </c>
      <c r="H202" s="20" t="inlineStr">
        <is>
          <t>CONFIRMED</t>
        </is>
      </c>
      <c r="I202" s="19" t="n">
        <v>60</v>
      </c>
      <c r="J202" s="21" t="inlineStr">
        <is>
          <t>Apply Here</t>
        </is>
      </c>
      <c r="K202" s="22" t="n"/>
      <c r="L202" s="22" t="n"/>
      <c r="M202" s="22" t="inlineStr">
        <is>
          <t>Pending</t>
        </is>
      </c>
      <c r="N202" s="23" t="n"/>
      <c r="O202" s="22" t="n"/>
    </row>
    <row r="203">
      <c r="A203" s="24" t="inlineStr">
        <is>
          <t>f3cc713671d2</t>
        </is>
      </c>
      <c r="B203" s="24" t="inlineStr">
        <is>
          <t>20/02/2026</t>
        </is>
      </c>
      <c r="C203" s="24" t="inlineStr">
        <is>
          <t>Senior Engineer - Flood Risk &amp; Drainage</t>
        </is>
      </c>
      <c r="D203" s="24" t="inlineStr">
        <is>
          <t>Aztrum</t>
        </is>
      </c>
      <c r="E203" s="24" t="inlineStr">
        <is>
          <t>Ash Vale, Aldershot</t>
        </is>
      </c>
      <c r="F203" s="24" t="inlineStr">
        <is>
          <t>£45,000 – £55,000</t>
        </is>
      </c>
      <c r="G203" s="24" t="inlineStr">
        <is>
          <t>Adzuna UK</t>
        </is>
      </c>
      <c r="H203" s="20" t="inlineStr">
        <is>
          <t>CONFIRMED</t>
        </is>
      </c>
      <c r="I203" s="24" t="n">
        <v>60</v>
      </c>
      <c r="J203" s="25" t="inlineStr">
        <is>
          <t>Apply Here</t>
        </is>
      </c>
      <c r="K203" s="26" t="n"/>
      <c r="L203" s="26" t="n"/>
      <c r="M203" s="26" t="inlineStr">
        <is>
          <t>Pending</t>
        </is>
      </c>
      <c r="N203" s="27" t="n"/>
      <c r="O203" s="26" t="n"/>
    </row>
    <row r="204">
      <c r="A204" s="19" t="inlineStr">
        <is>
          <t>8156310be7b6</t>
        </is>
      </c>
      <c r="B204" s="19" t="inlineStr">
        <is>
          <t>20/02/2026</t>
        </is>
      </c>
      <c r="C204" s="19" t="inlineStr">
        <is>
          <t>Structural Design Engineer</t>
        </is>
      </c>
      <c r="D204" s="19" t="inlineStr">
        <is>
          <t>Murray McIntosh Recruitment Consultancy</t>
        </is>
      </c>
      <c r="E204" s="19" t="inlineStr">
        <is>
          <t>Reading, Berkshire</t>
        </is>
      </c>
      <c r="F204" s="19" t="inlineStr">
        <is>
          <t>£50,000 – £75,000</t>
        </is>
      </c>
      <c r="G204" s="19" t="inlineStr">
        <is>
          <t>Adzuna UK</t>
        </is>
      </c>
      <c r="H204" s="20" t="inlineStr">
        <is>
          <t>CONFIRMED</t>
        </is>
      </c>
      <c r="I204" s="19" t="n">
        <v>55</v>
      </c>
      <c r="J204" s="21" t="inlineStr">
        <is>
          <t>Apply Here</t>
        </is>
      </c>
      <c r="K204" s="22" t="n"/>
      <c r="L204" s="22" t="n"/>
      <c r="M204" s="22" t="inlineStr">
        <is>
          <t>Pending</t>
        </is>
      </c>
      <c r="N204" s="23" t="n"/>
      <c r="O204" s="22" t="n"/>
    </row>
    <row r="205">
      <c r="A205" s="24" t="inlineStr">
        <is>
          <t>6c9b4f501e33</t>
        </is>
      </c>
      <c r="B205" s="24" t="inlineStr">
        <is>
          <t>20/02/2026</t>
        </is>
      </c>
      <c r="C205" s="24" t="inlineStr">
        <is>
          <t>Mechanical Design Engineer - Water Sector</t>
        </is>
      </c>
      <c r="D205" s="24" t="inlineStr">
        <is>
          <t>Murray McIntosh &amp; Associates Limited</t>
        </is>
      </c>
      <c r="E205" s="24" t="inlineStr">
        <is>
          <t>Church Crookham, Fleet</t>
        </is>
      </c>
      <c r="F205" s="24" t="inlineStr">
        <is>
          <t>£50,000 – £50,000</t>
        </is>
      </c>
      <c r="G205" s="24" t="inlineStr">
        <is>
          <t>Adzuna UK</t>
        </is>
      </c>
      <c r="H205" s="20" t="inlineStr">
        <is>
          <t>CONFIRMED</t>
        </is>
      </c>
      <c r="I205" s="24" t="n">
        <v>55</v>
      </c>
      <c r="J205" s="25" t="inlineStr">
        <is>
          <t>Apply Here</t>
        </is>
      </c>
      <c r="K205" s="26" t="n"/>
      <c r="L205" s="26" t="n"/>
      <c r="M205" s="26" t="inlineStr">
        <is>
          <t>Pending</t>
        </is>
      </c>
      <c r="N205" s="27" t="n"/>
      <c r="O205" s="26" t="n"/>
    </row>
    <row r="206">
      <c r="A206" s="19" t="inlineStr">
        <is>
          <t>bdf056cde7cf</t>
        </is>
      </c>
      <c r="B206" s="19" t="inlineStr">
        <is>
          <t>20/02/2026</t>
        </is>
      </c>
      <c r="C206" s="19" t="inlineStr">
        <is>
          <t>Mechanical Design Engineer - Water Sector</t>
        </is>
      </c>
      <c r="D206" s="19" t="inlineStr">
        <is>
          <t>Murray McIntosh Recruitment Consultancy</t>
        </is>
      </c>
      <c r="E206" s="19" t="inlineStr">
        <is>
          <t>Fleet, Hampshire</t>
        </is>
      </c>
      <c r="F206" s="19" t="inlineStr">
        <is>
          <t>£40,000 – £50,000</t>
        </is>
      </c>
      <c r="G206" s="19" t="inlineStr">
        <is>
          <t>Adzuna UK</t>
        </is>
      </c>
      <c r="H206" s="20" t="inlineStr">
        <is>
          <t>CONFIRMED</t>
        </is>
      </c>
      <c r="I206" s="19" t="n">
        <v>55</v>
      </c>
      <c r="J206" s="21" t="inlineStr">
        <is>
          <t>Apply Here</t>
        </is>
      </c>
      <c r="K206" s="22" t="n"/>
      <c r="L206" s="22" t="n"/>
      <c r="M206" s="22" t="inlineStr">
        <is>
          <t>Pending</t>
        </is>
      </c>
      <c r="N206" s="23" t="n"/>
      <c r="O206" s="22" t="n"/>
    </row>
    <row r="207">
      <c r="A207" s="24" t="inlineStr">
        <is>
          <t>83f4a5aaa7a8</t>
        </is>
      </c>
      <c r="B207" s="24" t="inlineStr">
        <is>
          <t>20/02/2026</t>
        </is>
      </c>
      <c r="C207" s="24" t="inlineStr">
        <is>
          <t>Mechanical Design Engineer - Water Sector</t>
        </is>
      </c>
      <c r="D207" s="24" t="inlineStr">
        <is>
          <t>Murray McIntosh Associates Ltd</t>
        </is>
      </c>
      <c r="E207" s="24" t="inlineStr">
        <is>
          <t>Artington, Guildford</t>
        </is>
      </c>
      <c r="F207" s="24" t="inlineStr">
        <is>
          <t>£40,000 – £50,000</t>
        </is>
      </c>
      <c r="G207" s="24" t="inlineStr">
        <is>
          <t>Adzuna UK</t>
        </is>
      </c>
      <c r="H207" s="20" t="inlineStr">
        <is>
          <t>CONFIRMED</t>
        </is>
      </c>
      <c r="I207" s="24" t="n">
        <v>55</v>
      </c>
      <c r="J207" s="25" t="inlineStr">
        <is>
          <t>Apply Here</t>
        </is>
      </c>
      <c r="K207" s="26" t="n"/>
      <c r="L207" s="26" t="n"/>
      <c r="M207" s="26" t="inlineStr">
        <is>
          <t>Pending</t>
        </is>
      </c>
      <c r="N207" s="27" t="n"/>
      <c r="O207" s="26" t="n"/>
    </row>
    <row r="208">
      <c r="A208" s="19" t="inlineStr">
        <is>
          <t>f6fdd98a94d4</t>
        </is>
      </c>
      <c r="B208" s="19" t="inlineStr">
        <is>
          <t>20/02/2026</t>
        </is>
      </c>
      <c r="C208" s="19" t="inlineStr">
        <is>
          <t>Drainage Design Engineer</t>
        </is>
      </c>
      <c r="D208" s="19" t="inlineStr">
        <is>
          <t>Pave Recruit</t>
        </is>
      </c>
      <c r="E208" s="19" t="inlineStr">
        <is>
          <t>Richmond, West London</t>
        </is>
      </c>
      <c r="F208" s="19" t="inlineStr">
        <is>
          <t>£38,000 – £44,000</t>
        </is>
      </c>
      <c r="G208" s="19" t="inlineStr">
        <is>
          <t>Adzuna UK</t>
        </is>
      </c>
      <c r="H208" s="20" t="inlineStr">
        <is>
          <t>CONFIRMED</t>
        </is>
      </c>
      <c r="I208" s="19" t="n">
        <v>55</v>
      </c>
      <c r="J208" s="21" t="inlineStr">
        <is>
          <t>Apply Here</t>
        </is>
      </c>
      <c r="K208" s="22" t="n"/>
      <c r="L208" s="22" t="n"/>
      <c r="M208" s="22" t="inlineStr">
        <is>
          <t>Pending</t>
        </is>
      </c>
      <c r="N208" s="23" t="n"/>
      <c r="O208" s="22" t="n"/>
    </row>
    <row r="209">
      <c r="A209" s="24" t="inlineStr">
        <is>
          <t>93371f0888f4</t>
        </is>
      </c>
      <c r="B209" s="24" t="inlineStr">
        <is>
          <t>20/02/2026</t>
        </is>
      </c>
      <c r="C209" s="24" t="inlineStr">
        <is>
          <t>Quality Engineer</t>
        </is>
      </c>
      <c r="D209" s="24" t="inlineStr">
        <is>
          <t>Rapiscan Systems</t>
        </is>
      </c>
      <c r="E209" s="24" t="inlineStr">
        <is>
          <t>Salfords, Redhill</t>
        </is>
      </c>
      <c r="F209" s="24" t="inlineStr">
        <is>
          <t>£49,199 – £49,199</t>
        </is>
      </c>
      <c r="G209" s="24" t="inlineStr">
        <is>
          <t>Adzuna UK</t>
        </is>
      </c>
      <c r="H209" s="20" t="inlineStr">
        <is>
          <t>CONFIRMED</t>
        </is>
      </c>
      <c r="I209" s="24" t="n">
        <v>55</v>
      </c>
      <c r="J209" s="25" t="inlineStr">
        <is>
          <t>Apply Here</t>
        </is>
      </c>
      <c r="K209" s="26" t="n"/>
      <c r="L209" s="26" t="n"/>
      <c r="M209" s="26" t="inlineStr">
        <is>
          <t>Pending</t>
        </is>
      </c>
      <c r="N209" s="27" t="n"/>
      <c r="O209" s="26" t="n"/>
    </row>
    <row r="210">
      <c r="A210" s="19" t="inlineStr">
        <is>
          <t>2b9ce0da0b95</t>
        </is>
      </c>
      <c r="B210" s="19" t="inlineStr">
        <is>
          <t>20/02/2026</t>
        </is>
      </c>
      <c r="C210" s="19" t="inlineStr">
        <is>
          <t>Quality Engineer</t>
        </is>
      </c>
      <c r="D210" s="19" t="inlineStr">
        <is>
          <t>Rapiscan Systems</t>
        </is>
      </c>
      <c r="E210" s="19" t="inlineStr">
        <is>
          <t>Salfords, Redhill</t>
        </is>
      </c>
      <c r="F210" s="19" t="inlineStr">
        <is>
          <t>£46,683 – £46,683</t>
        </is>
      </c>
      <c r="G210" s="19" t="inlineStr">
        <is>
          <t>Adzuna UK</t>
        </is>
      </c>
      <c r="H210" s="20" t="inlineStr">
        <is>
          <t>CONFIRMED</t>
        </is>
      </c>
      <c r="I210" s="19" t="n">
        <v>55</v>
      </c>
      <c r="J210" s="21" t="inlineStr">
        <is>
          <t>Apply Here</t>
        </is>
      </c>
      <c r="K210" s="22" t="n"/>
      <c r="L210" s="22" t="n"/>
      <c r="M210" s="22" t="inlineStr">
        <is>
          <t>Pending</t>
        </is>
      </c>
      <c r="N210" s="23" t="n"/>
      <c r="O210" s="22" t="n"/>
    </row>
    <row r="211">
      <c r="A211" s="24" t="inlineStr">
        <is>
          <t>3583b7264ed4</t>
        </is>
      </c>
      <c r="B211" s="24" t="inlineStr">
        <is>
          <t>20/02/2026</t>
        </is>
      </c>
      <c r="C211" s="24" t="inlineStr">
        <is>
          <t>Assistant Engineer - Clean Water Modelling</t>
        </is>
      </c>
      <c r="D211" s="24" t="inlineStr">
        <is>
          <t>WSP</t>
        </is>
      </c>
      <c r="E211" s="24" t="inlineStr">
        <is>
          <t>Aldwych, Central London</t>
        </is>
      </c>
      <c r="F211" s="24" t="inlineStr">
        <is>
          <t>£45,209 – £45,209</t>
        </is>
      </c>
      <c r="G211" s="24" t="inlineStr">
        <is>
          <t>Adzuna UK</t>
        </is>
      </c>
      <c r="H211" s="20" t="inlineStr">
        <is>
          <t>CONFIRMED</t>
        </is>
      </c>
      <c r="I211" s="24" t="n">
        <v>55</v>
      </c>
      <c r="J211" s="25" t="inlineStr">
        <is>
          <t>Apply Here</t>
        </is>
      </c>
      <c r="K211" s="26" t="n"/>
      <c r="L211" s="26" t="n"/>
      <c r="M211" s="26" t="inlineStr">
        <is>
          <t>Pending</t>
        </is>
      </c>
      <c r="N211" s="27" t="n"/>
      <c r="O211" s="26" t="n"/>
    </row>
    <row r="212">
      <c r="A212" s="19" t="inlineStr">
        <is>
          <t>f059723c790f</t>
        </is>
      </c>
      <c r="B212" s="19" t="inlineStr">
        <is>
          <t>20/02/2026</t>
        </is>
      </c>
      <c r="C212" s="19" t="inlineStr">
        <is>
          <t>Pump Engineer</t>
        </is>
      </c>
      <c r="D212" s="19" t="inlineStr">
        <is>
          <t>Smart Search Technical Ltd</t>
        </is>
      </c>
      <c r="E212" s="19" t="inlineStr">
        <is>
          <t>Farringdon, Central London</t>
        </is>
      </c>
      <c r="F212" s="19" t="inlineStr">
        <is>
          <t>£35,000 – £45,000</t>
        </is>
      </c>
      <c r="G212" s="19" t="inlineStr">
        <is>
          <t>Adzuna UK</t>
        </is>
      </c>
      <c r="H212" s="20" t="inlineStr">
        <is>
          <t>CONFIRMED</t>
        </is>
      </c>
      <c r="I212" s="19" t="n">
        <v>55</v>
      </c>
      <c r="J212" s="21" t="inlineStr">
        <is>
          <t>Apply Here</t>
        </is>
      </c>
      <c r="K212" s="22" t="n"/>
      <c r="L212" s="22" t="n"/>
      <c r="M212" s="22" t="inlineStr">
        <is>
          <t>Pending</t>
        </is>
      </c>
      <c r="N212" s="23" t="n"/>
      <c r="O212" s="22" t="n"/>
    </row>
    <row r="213">
      <c r="A213" s="24" t="inlineStr">
        <is>
          <t>c3e2ed210d48</t>
        </is>
      </c>
      <c r="B213" s="24" t="inlineStr">
        <is>
          <t>20/02/2026</t>
        </is>
      </c>
      <c r="C213" s="24" t="inlineStr">
        <is>
          <t>HGV Class 2 Tanker Driver – Drainage</t>
        </is>
      </c>
      <c r="D213" s="24" t="inlineStr">
        <is>
          <t>Excellis Consultancy</t>
        </is>
      </c>
      <c r="E213" s="24" t="inlineStr">
        <is>
          <t>Riverhead, Sevenoaks</t>
        </is>
      </c>
      <c r="F213" s="24" t="inlineStr">
        <is>
          <t>£45,000 – £48,000</t>
        </is>
      </c>
      <c r="G213" s="24" t="inlineStr">
        <is>
          <t>Adzuna UK</t>
        </is>
      </c>
      <c r="H213" s="20" t="inlineStr">
        <is>
          <t>CONFIRMED</t>
        </is>
      </c>
      <c r="I213" s="24" t="n">
        <v>55</v>
      </c>
      <c r="J213" s="25" t="inlineStr">
        <is>
          <t>Apply Here</t>
        </is>
      </c>
      <c r="K213" s="26" t="n"/>
      <c r="L213" s="26" t="n"/>
      <c r="M213" s="26" t="inlineStr">
        <is>
          <t>Pending</t>
        </is>
      </c>
      <c r="N213" s="27" t="n"/>
      <c r="O213" s="26" t="n"/>
    </row>
    <row r="214">
      <c r="A214" s="19" t="inlineStr">
        <is>
          <t>5db6b340fd15</t>
        </is>
      </c>
      <c r="B214" s="19" t="inlineStr">
        <is>
          <t>20/02/2026</t>
        </is>
      </c>
      <c r="C214" s="19" t="inlineStr">
        <is>
          <t>Drainage Design Engineer</t>
        </is>
      </c>
      <c r="D214" s="19" t="inlineStr">
        <is>
          <t>Pave Recruit</t>
        </is>
      </c>
      <c r="E214" s="19" t="inlineStr">
        <is>
          <t>Richmond, West London</t>
        </is>
      </c>
      <c r="F214" s="19" t="inlineStr">
        <is>
          <t>£38,000 – £44,000</t>
        </is>
      </c>
      <c r="G214" s="19" t="inlineStr">
        <is>
          <t>Adzuna UK</t>
        </is>
      </c>
      <c r="H214" s="20" t="inlineStr">
        <is>
          <t>CONFIRMED</t>
        </is>
      </c>
      <c r="I214" s="19" t="n">
        <v>55</v>
      </c>
      <c r="J214" s="21" t="inlineStr">
        <is>
          <t>Apply Here</t>
        </is>
      </c>
      <c r="K214" s="22" t="n"/>
      <c r="L214" s="22" t="n"/>
      <c r="M214" s="22" t="inlineStr">
        <is>
          <t>Pending</t>
        </is>
      </c>
      <c r="N214" s="23" t="n"/>
      <c r="O214" s="22" t="n"/>
    </row>
    <row r="215">
      <c r="A215" s="24" t="inlineStr">
        <is>
          <t>219705c85a6b</t>
        </is>
      </c>
      <c r="B215" s="24" t="inlineStr">
        <is>
          <t>20/02/2026</t>
        </is>
      </c>
      <c r="C215" s="24" t="inlineStr">
        <is>
          <t>Pollution Response Technician</t>
        </is>
      </c>
      <c r="D215" s="24" t="inlineStr">
        <is>
          <t>Lanes Group</t>
        </is>
      </c>
      <c r="E215" s="24" t="inlineStr">
        <is>
          <t>Tudeley, Tonbridge</t>
        </is>
      </c>
      <c r="F215" s="24" t="inlineStr">
        <is>
          <t>£54,416 – £54,416</t>
        </is>
      </c>
      <c r="G215" s="24" t="inlineStr">
        <is>
          <t>Adzuna UK</t>
        </is>
      </c>
      <c r="H215" s="20" t="inlineStr">
        <is>
          <t>CONFIRMED</t>
        </is>
      </c>
      <c r="I215" s="24" t="n">
        <v>55</v>
      </c>
      <c r="J215" s="25" t="inlineStr">
        <is>
          <t>Apply Here</t>
        </is>
      </c>
      <c r="K215" s="26" t="n"/>
      <c r="L215" s="26" t="n"/>
      <c r="M215" s="26" t="inlineStr">
        <is>
          <t>Pending</t>
        </is>
      </c>
      <c r="N215" s="27" t="n"/>
      <c r="O215" s="26" t="n"/>
    </row>
    <row r="216">
      <c r="A216" s="19" t="inlineStr">
        <is>
          <t>214103946cdf</t>
        </is>
      </c>
      <c r="B216" s="19" t="inlineStr">
        <is>
          <t>21/02/2026</t>
        </is>
      </c>
      <c r="C216" s="19" t="inlineStr">
        <is>
          <t>Plumber</t>
        </is>
      </c>
      <c r="D216" s="19" t="inlineStr">
        <is>
          <t>WATES PROPERTY SERVICES LIMITED</t>
        </is>
      </c>
      <c r="E216" s="19" t="inlineStr">
        <is>
          <t>Crawley, West Sussex</t>
        </is>
      </c>
      <c r="F216" s="19" t="inlineStr">
        <is>
          <t>£50,654 – £50,654</t>
        </is>
      </c>
      <c r="G216" s="19" t="inlineStr">
        <is>
          <t>Adzuna UK</t>
        </is>
      </c>
      <c r="H216" s="20" t="inlineStr">
        <is>
          <t>CONFIRMED</t>
        </is>
      </c>
      <c r="I216" s="19" t="n">
        <v>70</v>
      </c>
      <c r="J216" s="21" t="inlineStr">
        <is>
          <t>Apply Here</t>
        </is>
      </c>
      <c r="K216" s="22" t="n"/>
      <c r="L216" s="22" t="n"/>
      <c r="M216" s="22" t="inlineStr">
        <is>
          <t>Pending</t>
        </is>
      </c>
      <c r="N216" s="23" t="n"/>
      <c r="O216" s="22" t="n"/>
    </row>
    <row r="217">
      <c r="A217" s="24" t="inlineStr">
        <is>
          <t>41df660f858c</t>
        </is>
      </c>
      <c r="B217" s="24" t="inlineStr">
        <is>
          <t>21/02/2026</t>
        </is>
      </c>
      <c r="C217" s="24" t="inlineStr">
        <is>
          <t>Drainage Engineer</t>
        </is>
      </c>
      <c r="D217" s="24" t="inlineStr">
        <is>
          <t>CHARTWELL</t>
        </is>
      </c>
      <c r="E217" s="24" t="inlineStr">
        <is>
          <t>Chatham, Kent</t>
        </is>
      </c>
      <c r="F217" s="24" t="inlineStr">
        <is>
          <t>£45,000 – £45,000</t>
        </is>
      </c>
      <c r="G217" s="24" t="inlineStr">
        <is>
          <t>Adzuna UK</t>
        </is>
      </c>
      <c r="H217" s="20" t="inlineStr">
        <is>
          <t>CONFIRMED</t>
        </is>
      </c>
      <c r="I217" s="24" t="n">
        <v>70</v>
      </c>
      <c r="J217" s="25" t="inlineStr">
        <is>
          <t>Apply Here</t>
        </is>
      </c>
      <c r="K217" s="26" t="n"/>
      <c r="L217" s="26" t="n"/>
      <c r="M217" s="26" t="inlineStr">
        <is>
          <t>Pending</t>
        </is>
      </c>
      <c r="N217" s="27" t="n"/>
      <c r="O217" s="26" t="n"/>
    </row>
    <row r="218">
      <c r="A218" s="19" t="inlineStr">
        <is>
          <t>9e0395db3cbd</t>
        </is>
      </c>
      <c r="B218" s="19" t="inlineStr">
        <is>
          <t>21/02/2026</t>
        </is>
      </c>
      <c r="C218" s="19" t="inlineStr">
        <is>
          <t>Drainage Engineer</t>
        </is>
      </c>
      <c r="D218" s="19" t="inlineStr">
        <is>
          <t>Reed</t>
        </is>
      </c>
      <c r="E218" s="19" t="inlineStr">
        <is>
          <t>London, UK</t>
        </is>
      </c>
      <c r="F218" s="19" t="inlineStr">
        <is>
          <t>£40,000 – £50,000</t>
        </is>
      </c>
      <c r="G218" s="19" t="inlineStr">
        <is>
          <t>Adzuna UK</t>
        </is>
      </c>
      <c r="H218" s="20" t="inlineStr">
        <is>
          <t>CONFIRMED</t>
        </is>
      </c>
      <c r="I218" s="19" t="n">
        <v>70</v>
      </c>
      <c r="J218" s="21" t="inlineStr">
        <is>
          <t>Apply Here</t>
        </is>
      </c>
      <c r="K218" s="22" t="n"/>
      <c r="L218" s="22" t="n"/>
      <c r="M218" s="22" t="inlineStr">
        <is>
          <t>Pending</t>
        </is>
      </c>
      <c r="N218" s="23" t="n"/>
      <c r="O218" s="22" t="n"/>
    </row>
    <row r="219">
      <c r="A219" s="24" t="inlineStr">
        <is>
          <t>8aea820d0004</t>
        </is>
      </c>
      <c r="B219" s="24" t="inlineStr">
        <is>
          <t>21/02/2026</t>
        </is>
      </c>
      <c r="C219" s="24" t="inlineStr">
        <is>
          <t>Civil Infrastructure Engineer</t>
        </is>
      </c>
      <c r="D219" s="24" t="inlineStr">
        <is>
          <t>Zodiac Recruitment</t>
        </is>
      </c>
      <c r="E219" s="24" t="inlineStr">
        <is>
          <t>Stone Cross, Crowborough</t>
        </is>
      </c>
      <c r="F219" s="24" t="inlineStr">
        <is>
          <t>£32,000 – £44,000</t>
        </is>
      </c>
      <c r="G219" s="24" t="inlineStr">
        <is>
          <t>Adzuna UK</t>
        </is>
      </c>
      <c r="H219" s="20" t="inlineStr">
        <is>
          <t>CONFIRMED</t>
        </is>
      </c>
      <c r="I219" s="24" t="n">
        <v>70</v>
      </c>
      <c r="J219" s="25" t="inlineStr">
        <is>
          <t>Apply Here</t>
        </is>
      </c>
      <c r="K219" s="26" t="n"/>
      <c r="L219" s="26" t="n"/>
      <c r="M219" s="26" t="inlineStr">
        <is>
          <t>Pending</t>
        </is>
      </c>
      <c r="N219" s="27" t="n"/>
      <c r="O219" s="26" t="n"/>
    </row>
    <row r="220">
      <c r="A220" s="19" t="inlineStr">
        <is>
          <t>82bd48219723</t>
        </is>
      </c>
      <c r="B220" s="19" t="inlineStr">
        <is>
          <t>21/02/2026</t>
        </is>
      </c>
      <c r="C220" s="19" t="inlineStr">
        <is>
          <t>Drainage Engineer</t>
        </is>
      </c>
      <c r="D220" s="19" t="inlineStr">
        <is>
          <t>Ernest Gordon Recruitment</t>
        </is>
      </c>
      <c r="E220" s="19" t="inlineStr">
        <is>
          <t>South Croydon, South East London</t>
        </is>
      </c>
      <c r="F220" s="19" t="inlineStr">
        <is>
          <t>£45,000 – £45,000</t>
        </is>
      </c>
      <c r="G220" s="19" t="inlineStr">
        <is>
          <t>Adzuna UK</t>
        </is>
      </c>
      <c r="H220" s="20" t="inlineStr">
        <is>
          <t>CONFIRMED</t>
        </is>
      </c>
      <c r="I220" s="19" t="n">
        <v>70</v>
      </c>
      <c r="J220" s="21" t="inlineStr">
        <is>
          <t>Apply Here</t>
        </is>
      </c>
      <c r="K220" s="22" t="n"/>
      <c r="L220" s="22" t="n"/>
      <c r="M220" s="22" t="inlineStr">
        <is>
          <t>Pending</t>
        </is>
      </c>
      <c r="N220" s="23" t="n"/>
      <c r="O220" s="22" t="n"/>
    </row>
    <row r="221">
      <c r="A221" s="24" t="inlineStr">
        <is>
          <t>a38b8da8c96e</t>
        </is>
      </c>
      <c r="B221" s="24" t="inlineStr">
        <is>
          <t>21/02/2026</t>
        </is>
      </c>
      <c r="C221" s="24" t="inlineStr">
        <is>
          <t>Drainage Engineer</t>
        </is>
      </c>
      <c r="D221" s="24" t="inlineStr">
        <is>
          <t>Ernest Gordon Recruitment Limited</t>
        </is>
      </c>
      <c r="E221" s="24" t="inlineStr">
        <is>
          <t>South Croydon, South East London</t>
        </is>
      </c>
      <c r="F221" s="24" t="inlineStr">
        <is>
          <t>£35,000 – £45,000</t>
        </is>
      </c>
      <c r="G221" s="24" t="inlineStr">
        <is>
          <t>Adzuna UK</t>
        </is>
      </c>
      <c r="H221" s="20" t="inlineStr">
        <is>
          <t>CONFIRMED</t>
        </is>
      </c>
      <c r="I221" s="24" t="n">
        <v>70</v>
      </c>
      <c r="J221" s="25" t="inlineStr">
        <is>
          <t>Apply Here</t>
        </is>
      </c>
      <c r="K221" s="26" t="n"/>
      <c r="L221" s="26" t="n"/>
      <c r="M221" s="26" t="inlineStr">
        <is>
          <t>Pending</t>
        </is>
      </c>
      <c r="N221" s="27" t="n"/>
      <c r="O221" s="26" t="n"/>
    </row>
    <row r="222">
      <c r="A222" s="19" t="inlineStr">
        <is>
          <t>21a42f91024f</t>
        </is>
      </c>
      <c r="B222" s="19" t="inlineStr">
        <is>
          <t>21/02/2026</t>
        </is>
      </c>
      <c r="C222" s="19" t="inlineStr">
        <is>
          <t>Drainage Engineer</t>
        </is>
      </c>
      <c r="D222" s="19" t="inlineStr">
        <is>
          <t>Ernest Gordon Recruitment Limited</t>
        </is>
      </c>
      <c r="E222" s="19" t="inlineStr">
        <is>
          <t>Croydon, London</t>
        </is>
      </c>
      <c r="F222" s="19" t="inlineStr">
        <is>
          <t>£35,000 – £45,000</t>
        </is>
      </c>
      <c r="G222" s="19" t="inlineStr">
        <is>
          <t>Adzuna UK</t>
        </is>
      </c>
      <c r="H222" s="20" t="inlineStr">
        <is>
          <t>CONFIRMED</t>
        </is>
      </c>
      <c r="I222" s="19" t="n">
        <v>70</v>
      </c>
      <c r="J222" s="21" t="inlineStr">
        <is>
          <t>Apply Here</t>
        </is>
      </c>
      <c r="K222" s="22" t="n"/>
      <c r="L222" s="22" t="n"/>
      <c r="M222" s="22" t="inlineStr">
        <is>
          <t>Pending</t>
        </is>
      </c>
      <c r="N222" s="23" t="n"/>
      <c r="O222" s="22" t="n"/>
    </row>
    <row r="223">
      <c r="A223" s="24" t="inlineStr">
        <is>
          <t>41a245309de3</t>
        </is>
      </c>
      <c r="B223" s="24" t="inlineStr">
        <is>
          <t>21/02/2026</t>
        </is>
      </c>
      <c r="C223" s="24" t="inlineStr">
        <is>
          <t>Senior Water Network Engineer/Modellers</t>
        </is>
      </c>
      <c r="D223" s="24" t="inlineStr">
        <is>
          <t>Jacobs</t>
        </is>
      </c>
      <c r="E223" s="24" t="inlineStr">
        <is>
          <t>Reading, Berkshire</t>
        </is>
      </c>
      <c r="F223" s="24" t="inlineStr">
        <is>
          <t>£50,253 – £50,253</t>
        </is>
      </c>
      <c r="G223" s="24" t="inlineStr">
        <is>
          <t>Adzuna UK</t>
        </is>
      </c>
      <c r="H223" s="20" t="inlineStr">
        <is>
          <t>CONFIRMED</t>
        </is>
      </c>
      <c r="I223" s="24" t="n">
        <v>65</v>
      </c>
      <c r="J223" s="25" t="inlineStr">
        <is>
          <t>Apply Here</t>
        </is>
      </c>
      <c r="K223" s="26" t="n"/>
      <c r="L223" s="26" t="n"/>
      <c r="M223" s="26" t="inlineStr">
        <is>
          <t>Pending</t>
        </is>
      </c>
      <c r="N223" s="27" t="n"/>
      <c r="O223" s="26" t="n"/>
    </row>
    <row r="224">
      <c r="A224" s="19" t="inlineStr">
        <is>
          <t>b21d3c39a91e</t>
        </is>
      </c>
      <c r="B224" s="19" t="inlineStr">
        <is>
          <t>21/02/2026</t>
        </is>
      </c>
      <c r="C224" s="19" t="inlineStr">
        <is>
          <t>Hydraulics Engineers - UK Wide</t>
        </is>
      </c>
      <c r="D224" s="19" t="inlineStr">
        <is>
          <t>Jacobs</t>
        </is>
      </c>
      <c r="E224" s="19" t="inlineStr">
        <is>
          <t>Reading, Berkshire</t>
        </is>
      </c>
      <c r="F224" s="19" t="inlineStr">
        <is>
          <t>£48,252 – £48,252</t>
        </is>
      </c>
      <c r="G224" s="19" t="inlineStr">
        <is>
          <t>Adzuna UK</t>
        </is>
      </c>
      <c r="H224" s="20" t="inlineStr">
        <is>
          <t>CONFIRMED</t>
        </is>
      </c>
      <c r="I224" s="19" t="n">
        <v>65</v>
      </c>
      <c r="J224" s="21" t="inlineStr">
        <is>
          <t>Apply Here</t>
        </is>
      </c>
      <c r="K224" s="22" t="n"/>
      <c r="L224" s="22" t="n"/>
      <c r="M224" s="22" t="inlineStr">
        <is>
          <t>Pending</t>
        </is>
      </c>
      <c r="N224" s="23" t="n"/>
      <c r="O224" s="22" t="n"/>
    </row>
    <row r="225">
      <c r="A225" s="24" t="inlineStr">
        <is>
          <t>3f5d06c4ca65</t>
        </is>
      </c>
      <c r="B225" s="24" t="inlineStr">
        <is>
          <t>21/02/2026</t>
        </is>
      </c>
      <c r="C225" s="24" t="inlineStr">
        <is>
          <t>Hydraulics Engineers - UK Wide</t>
        </is>
      </c>
      <c r="D225" s="24" t="inlineStr">
        <is>
          <t>Jacobs</t>
        </is>
      </c>
      <c r="E225" s="24" t="inlineStr">
        <is>
          <t>London, UK</t>
        </is>
      </c>
      <c r="F225" s="24" t="inlineStr">
        <is>
          <t>£49,369 – £49,369</t>
        </is>
      </c>
      <c r="G225" s="24" t="inlineStr">
        <is>
          <t>Adzuna UK</t>
        </is>
      </c>
      <c r="H225" s="20" t="inlineStr">
        <is>
          <t>CONFIRMED</t>
        </is>
      </c>
      <c r="I225" s="24" t="n">
        <v>65</v>
      </c>
      <c r="J225" s="25" t="inlineStr">
        <is>
          <t>Apply Here</t>
        </is>
      </c>
      <c r="K225" s="26" t="n"/>
      <c r="L225" s="26" t="n"/>
      <c r="M225" s="26" t="inlineStr">
        <is>
          <t>Pending</t>
        </is>
      </c>
      <c r="N225" s="27" t="n"/>
      <c r="O225" s="26" t="n"/>
    </row>
    <row r="226">
      <c r="A226" s="19" t="inlineStr">
        <is>
          <t>49e8efe40851</t>
        </is>
      </c>
      <c r="B226" s="19" t="inlineStr">
        <is>
          <t>21/02/2026</t>
        </is>
      </c>
      <c r="C226" s="19" t="inlineStr">
        <is>
          <t>Civil Design Engineer</t>
        </is>
      </c>
      <c r="D226" s="19" t="inlineStr">
        <is>
          <t>Murray McIntosh Recruitment Consultancy</t>
        </is>
      </c>
      <c r="E226" s="19" t="inlineStr">
        <is>
          <t>Fleet, Hampshire</t>
        </is>
      </c>
      <c r="F226" s="19" t="inlineStr">
        <is>
          <t>£50,000 – £65,000</t>
        </is>
      </c>
      <c r="G226" s="19" t="inlineStr">
        <is>
          <t>Adzuna UK</t>
        </is>
      </c>
      <c r="H226" s="20" t="inlineStr">
        <is>
          <t>CONFIRMED</t>
        </is>
      </c>
      <c r="I226" s="19" t="n">
        <v>60</v>
      </c>
      <c r="J226" s="21" t="inlineStr">
        <is>
          <t>Apply Here</t>
        </is>
      </c>
      <c r="K226" s="22" t="n"/>
      <c r="L226" s="22" t="n"/>
      <c r="M226" s="22" t="inlineStr">
        <is>
          <t>Pending</t>
        </is>
      </c>
      <c r="N226" s="23" t="n"/>
      <c r="O226" s="22" t="n"/>
    </row>
    <row r="227">
      <c r="A227" s="24" t="inlineStr">
        <is>
          <t>2417c8af27fe</t>
        </is>
      </c>
      <c r="B227" s="24" t="inlineStr">
        <is>
          <t>21/02/2026</t>
        </is>
      </c>
      <c r="C227" s="24" t="inlineStr">
        <is>
          <t>Civil Design Engineer</t>
        </is>
      </c>
      <c r="D227" s="24" t="inlineStr">
        <is>
          <t>Murray McIntosh Associates Ltd</t>
        </is>
      </c>
      <c r="E227" s="24" t="inlineStr">
        <is>
          <t>Artington, Guildford</t>
        </is>
      </c>
      <c r="F227" s="24" t="inlineStr">
        <is>
          <t>£50,000 – £65,000</t>
        </is>
      </c>
      <c r="G227" s="24" t="inlineStr">
        <is>
          <t>Adzuna UK</t>
        </is>
      </c>
      <c r="H227" s="20" t="inlineStr">
        <is>
          <t>CONFIRMED</t>
        </is>
      </c>
      <c r="I227" s="24" t="n">
        <v>60</v>
      </c>
      <c r="J227" s="25" t="inlineStr">
        <is>
          <t>Apply Here</t>
        </is>
      </c>
      <c r="K227" s="26" t="n"/>
      <c r="L227" s="26" t="n"/>
      <c r="M227" s="26" t="inlineStr">
        <is>
          <t>Pending</t>
        </is>
      </c>
      <c r="N227" s="27" t="n"/>
      <c r="O227" s="26" t="n"/>
    </row>
    <row r="228">
      <c r="A228" s="19" t="inlineStr">
        <is>
          <t>13c54a038f0d</t>
        </is>
      </c>
      <c r="B228" s="19" t="inlineStr">
        <is>
          <t>21/02/2026</t>
        </is>
      </c>
      <c r="C228" s="19" t="inlineStr">
        <is>
          <t>Civil Design Engineer</t>
        </is>
      </c>
      <c r="D228" s="19" t="inlineStr">
        <is>
          <t>Murray McIntosh Recruitment Consultancy</t>
        </is>
      </c>
      <c r="E228" s="19" t="inlineStr">
        <is>
          <t>Fleet, Hampshire</t>
        </is>
      </c>
      <c r="F228" s="19" t="inlineStr">
        <is>
          <t>£50,000 – £65,000</t>
        </is>
      </c>
      <c r="G228" s="19" t="inlineStr">
        <is>
          <t>Adzuna UK</t>
        </is>
      </c>
      <c r="H228" s="20" t="inlineStr">
        <is>
          <t>CONFIRMED</t>
        </is>
      </c>
      <c r="I228" s="19" t="n">
        <v>60</v>
      </c>
      <c r="J228" s="21" t="inlineStr">
        <is>
          <t>Apply Here</t>
        </is>
      </c>
      <c r="K228" s="22" t="n"/>
      <c r="L228" s="22" t="n"/>
      <c r="M228" s="22" t="inlineStr">
        <is>
          <t>Pending</t>
        </is>
      </c>
      <c r="N228" s="23" t="n"/>
      <c r="O228" s="22" t="n"/>
    </row>
    <row r="229">
      <c r="A229" s="24" t="inlineStr">
        <is>
          <t>ca08147f9c29</t>
        </is>
      </c>
      <c r="B229" s="24" t="inlineStr">
        <is>
          <t>21/02/2026</t>
        </is>
      </c>
      <c r="C229" s="24" t="inlineStr">
        <is>
          <t>Civil Design Engineer</t>
        </is>
      </c>
      <c r="D229" s="24" t="inlineStr">
        <is>
          <t>Murray McIntosh Associates Ltd</t>
        </is>
      </c>
      <c r="E229" s="24" t="inlineStr">
        <is>
          <t>Artington, Guildford</t>
        </is>
      </c>
      <c r="F229" s="24" t="inlineStr">
        <is>
          <t>£50,000 – £65,000</t>
        </is>
      </c>
      <c r="G229" s="24" t="inlineStr">
        <is>
          <t>Adzuna UK</t>
        </is>
      </c>
      <c r="H229" s="20" t="inlineStr">
        <is>
          <t>CONFIRMED</t>
        </is>
      </c>
      <c r="I229" s="24" t="n">
        <v>60</v>
      </c>
      <c r="J229" s="25" t="inlineStr">
        <is>
          <t>Apply Here</t>
        </is>
      </c>
      <c r="K229" s="26" t="n"/>
      <c r="L229" s="26" t="n"/>
      <c r="M229" s="26" t="inlineStr">
        <is>
          <t>Pending</t>
        </is>
      </c>
      <c r="N229" s="27" t="n"/>
      <c r="O229" s="26" t="n"/>
    </row>
    <row r="230">
      <c r="A230" s="19" t="inlineStr">
        <is>
          <t>30867ccf404b</t>
        </is>
      </c>
      <c r="B230" s="19" t="inlineStr">
        <is>
          <t>21/02/2026</t>
        </is>
      </c>
      <c r="C230" s="19" t="inlineStr">
        <is>
          <t>Senior Civil Engineer</t>
        </is>
      </c>
      <c r="D230" s="19" t="inlineStr">
        <is>
          <t>Penguin Recruitment</t>
        </is>
      </c>
      <c r="E230" s="19" t="inlineStr">
        <is>
          <t>Denner Hill, Great Missenden</t>
        </is>
      </c>
      <c r="F230" s="19" t="inlineStr">
        <is>
          <t>£38,000 – £60,000</t>
        </is>
      </c>
      <c r="G230" s="19" t="inlineStr">
        <is>
          <t>Adzuna UK</t>
        </is>
      </c>
      <c r="H230" s="20" t="inlineStr">
        <is>
          <t>CONFIRMED</t>
        </is>
      </c>
      <c r="I230" s="19" t="n">
        <v>60</v>
      </c>
      <c r="J230" s="21" t="inlineStr">
        <is>
          <t>Apply Here</t>
        </is>
      </c>
      <c r="K230" s="22" t="n"/>
      <c r="L230" s="22" t="n"/>
      <c r="M230" s="22" t="inlineStr">
        <is>
          <t>Pending</t>
        </is>
      </c>
      <c r="N230" s="23" t="n"/>
      <c r="O230" s="22" t="n"/>
    </row>
    <row r="231">
      <c r="A231" s="24" t="inlineStr">
        <is>
          <t>95c7b53a2cf1</t>
        </is>
      </c>
      <c r="B231" s="24" t="inlineStr">
        <is>
          <t>21/02/2026</t>
        </is>
      </c>
      <c r="C231" s="24" t="inlineStr">
        <is>
          <t>Assistant Quantity Surveyor / Estimator - Civil Engineering</t>
        </is>
      </c>
      <c r="D231" s="24" t="inlineStr">
        <is>
          <t>Henley Chase</t>
        </is>
      </c>
      <c r="E231" s="24" t="inlineStr">
        <is>
          <t>New Haw, Addlestone</t>
        </is>
      </c>
      <c r="F231" s="24" t="inlineStr">
        <is>
          <t>£30,000 – £50,000</t>
        </is>
      </c>
      <c r="G231" s="24" t="inlineStr">
        <is>
          <t>Adzuna UK</t>
        </is>
      </c>
      <c r="H231" s="20" t="inlineStr">
        <is>
          <t>CONFIRMED</t>
        </is>
      </c>
      <c r="I231" s="24" t="n">
        <v>60</v>
      </c>
      <c r="J231" s="25" t="inlineStr">
        <is>
          <t>Apply Here</t>
        </is>
      </c>
      <c r="K231" s="26" t="n"/>
      <c r="L231" s="26" t="n"/>
      <c r="M231" s="26" t="inlineStr">
        <is>
          <t>Pending</t>
        </is>
      </c>
      <c r="N231" s="27" t="n"/>
      <c r="O231" s="26" t="n"/>
    </row>
    <row r="232">
      <c r="A232" s="19" t="inlineStr">
        <is>
          <t>351547691f70</t>
        </is>
      </c>
      <c r="B232" s="19" t="inlineStr">
        <is>
          <t>21/02/2026</t>
        </is>
      </c>
      <c r="C232" s="19" t="inlineStr">
        <is>
          <t>Junior Quantity Surveyor / Estimator - Civil Engineering</t>
        </is>
      </c>
      <c r="D232" s="19" t="inlineStr">
        <is>
          <t>Henley Chase Limited</t>
        </is>
      </c>
      <c r="E232" s="19" t="inlineStr">
        <is>
          <t>Addlestone, Surrey</t>
        </is>
      </c>
      <c r="F232" s="19" t="inlineStr">
        <is>
          <t>£30,000 – £50,000</t>
        </is>
      </c>
      <c r="G232" s="19" t="inlineStr">
        <is>
          <t>Adzuna UK</t>
        </is>
      </c>
      <c r="H232" s="20" t="inlineStr">
        <is>
          <t>CONFIRMED</t>
        </is>
      </c>
      <c r="I232" s="19" t="n">
        <v>60</v>
      </c>
      <c r="J232" s="21" t="inlineStr">
        <is>
          <t>Apply Here</t>
        </is>
      </c>
      <c r="K232" s="22" t="n"/>
      <c r="L232" s="22" t="n"/>
      <c r="M232" s="22" t="inlineStr">
        <is>
          <t>Pending</t>
        </is>
      </c>
      <c r="N232" s="23" t="n"/>
      <c r="O232" s="22" t="n"/>
    </row>
    <row r="233">
      <c r="A233" s="24" t="inlineStr">
        <is>
          <t>a3759615d59b</t>
        </is>
      </c>
      <c r="B233" s="24" t="inlineStr">
        <is>
          <t>21/02/2026</t>
        </is>
      </c>
      <c r="C233" s="24" t="inlineStr">
        <is>
          <t>Senior Engineer - Flood Risk &amp; Drainage</t>
        </is>
      </c>
      <c r="D233" s="24" t="inlineStr">
        <is>
          <t>Aztrum</t>
        </is>
      </c>
      <c r="E233" s="24" t="inlineStr">
        <is>
          <t>Ash Vale, Aldershot</t>
        </is>
      </c>
      <c r="F233" s="24" t="inlineStr">
        <is>
          <t>£45,000 – £55,000</t>
        </is>
      </c>
      <c r="G233" s="24" t="inlineStr">
        <is>
          <t>Adzuna UK</t>
        </is>
      </c>
      <c r="H233" s="20" t="inlineStr">
        <is>
          <t>CONFIRMED</t>
        </is>
      </c>
      <c r="I233" s="24" t="n">
        <v>60</v>
      </c>
      <c r="J233" s="25" t="inlineStr">
        <is>
          <t>Apply Here</t>
        </is>
      </c>
      <c r="K233" s="26" t="n"/>
      <c r="L233" s="26" t="n"/>
      <c r="M233" s="26" t="inlineStr">
        <is>
          <t>Pending</t>
        </is>
      </c>
      <c r="N233" s="27" t="n"/>
      <c r="O233" s="26" t="n"/>
    </row>
    <row r="234">
      <c r="A234" s="19" t="inlineStr">
        <is>
          <t>c208b4eddbc2</t>
        </is>
      </c>
      <c r="B234" s="19" t="inlineStr">
        <is>
          <t>21/02/2026</t>
        </is>
      </c>
      <c r="C234" s="19" t="inlineStr">
        <is>
          <t>Senior Electrical Engineer - Water Projects</t>
        </is>
      </c>
      <c r="D234" s="19" t="inlineStr">
        <is>
          <t>AECOM</t>
        </is>
      </c>
      <c r="E234" s="19" t="inlineStr">
        <is>
          <t>Croydon, London</t>
        </is>
      </c>
      <c r="F234" s="19" t="inlineStr">
        <is>
          <t>£47,734 – £47,734</t>
        </is>
      </c>
      <c r="G234" s="19" t="inlineStr">
        <is>
          <t>Adzuna UK</t>
        </is>
      </c>
      <c r="H234" s="20" t="inlineStr">
        <is>
          <t>CONFIRMED</t>
        </is>
      </c>
      <c r="I234" s="19" t="n">
        <v>55</v>
      </c>
      <c r="J234" s="21" t="inlineStr">
        <is>
          <t>Apply Here</t>
        </is>
      </c>
      <c r="K234" s="22" t="n"/>
      <c r="L234" s="22" t="n"/>
      <c r="M234" s="22" t="inlineStr">
        <is>
          <t>Pending</t>
        </is>
      </c>
      <c r="N234" s="23" t="n"/>
      <c r="O234" s="22" t="n"/>
    </row>
    <row r="235">
      <c r="A235" s="24" t="inlineStr">
        <is>
          <t>d32df68d5ae6</t>
        </is>
      </c>
      <c r="B235" s="24" t="inlineStr">
        <is>
          <t>21/02/2026</t>
        </is>
      </c>
      <c r="C235" s="24" t="inlineStr">
        <is>
          <t>Senior Electrical Engineer - Water Projects</t>
        </is>
      </c>
      <c r="D235" s="24" t="inlineStr">
        <is>
          <t>AECOM</t>
        </is>
      </c>
      <c r="E235" s="24" t="inlineStr">
        <is>
          <t>St. Albans, Hertfordshire</t>
        </is>
      </c>
      <c r="F235" s="24" t="inlineStr">
        <is>
          <t>£48,482 – £48,482</t>
        </is>
      </c>
      <c r="G235" s="24" t="inlineStr">
        <is>
          <t>Adzuna UK</t>
        </is>
      </c>
      <c r="H235" s="20" t="inlineStr">
        <is>
          <t>CONFIRMED</t>
        </is>
      </c>
      <c r="I235" s="24" t="n">
        <v>55</v>
      </c>
      <c r="J235" s="25" t="inlineStr">
        <is>
          <t>Apply Here</t>
        </is>
      </c>
      <c r="K235" s="26" t="n"/>
      <c r="L235" s="26" t="n"/>
      <c r="M235" s="26" t="inlineStr">
        <is>
          <t>Pending</t>
        </is>
      </c>
      <c r="N235" s="27" t="n"/>
      <c r="O235" s="26" t="n"/>
    </row>
    <row r="236">
      <c r="A236" s="19" t="inlineStr">
        <is>
          <t>6b4a3dd956ae</t>
        </is>
      </c>
      <c r="B236" s="19" t="inlineStr">
        <is>
          <t>21/02/2026</t>
        </is>
      </c>
      <c r="C236" s="19" t="inlineStr">
        <is>
          <t>Senior Electrical Engineer - Water Projects</t>
        </is>
      </c>
      <c r="D236" s="19" t="inlineStr">
        <is>
          <t>AECOM</t>
        </is>
      </c>
      <c r="E236" s="19" t="inlineStr">
        <is>
          <t>London, UK</t>
        </is>
      </c>
      <c r="F236" s="19" t="inlineStr">
        <is>
          <t>£49,911 – £49,911</t>
        </is>
      </c>
      <c r="G236" s="19" t="inlineStr">
        <is>
          <t>Adzuna UK</t>
        </is>
      </c>
      <c r="H236" s="20" t="inlineStr">
        <is>
          <t>CONFIRMED</t>
        </is>
      </c>
      <c r="I236" s="19" t="n">
        <v>55</v>
      </c>
      <c r="J236" s="21" t="inlineStr">
        <is>
          <t>Apply Here</t>
        </is>
      </c>
      <c r="K236" s="22" t="n"/>
      <c r="L236" s="22" t="n"/>
      <c r="M236" s="22" t="inlineStr">
        <is>
          <t>Pending</t>
        </is>
      </c>
      <c r="N236" s="23" t="n"/>
      <c r="O236" s="22" t="n"/>
    </row>
    <row r="237">
      <c r="A237" s="24" t="inlineStr">
        <is>
          <t>2f34b28a8274</t>
        </is>
      </c>
      <c r="B237" s="24" t="inlineStr">
        <is>
          <t>21/02/2026</t>
        </is>
      </c>
      <c r="C237" s="24" t="inlineStr">
        <is>
          <t>Mechanical Design Engineer - Water Sector</t>
        </is>
      </c>
      <c r="D237" s="24" t="inlineStr">
        <is>
          <t>Murray McIntosh &amp; Associates Limited</t>
        </is>
      </c>
      <c r="E237" s="24" t="inlineStr">
        <is>
          <t>Church Crookham, Fleet</t>
        </is>
      </c>
      <c r="F237" s="24" t="inlineStr">
        <is>
          <t>£50,000 – £50,000</t>
        </is>
      </c>
      <c r="G237" s="24" t="inlineStr">
        <is>
          <t>Adzuna UK</t>
        </is>
      </c>
      <c r="H237" s="20" t="inlineStr">
        <is>
          <t>CONFIRMED</t>
        </is>
      </c>
      <c r="I237" s="24" t="n">
        <v>55</v>
      </c>
      <c r="J237" s="25" t="inlineStr">
        <is>
          <t>Apply Here</t>
        </is>
      </c>
      <c r="K237" s="26" t="n"/>
      <c r="L237" s="26" t="n"/>
      <c r="M237" s="26" t="inlineStr">
        <is>
          <t>Pending</t>
        </is>
      </c>
      <c r="N237" s="27" t="n"/>
      <c r="O237" s="26" t="n"/>
    </row>
    <row r="238">
      <c r="A238" s="19" t="inlineStr">
        <is>
          <t>cd07d08cabc6</t>
        </is>
      </c>
      <c r="B238" s="19" t="inlineStr">
        <is>
          <t>21/02/2026</t>
        </is>
      </c>
      <c r="C238" s="19" t="inlineStr">
        <is>
          <t>Structural Design Engineer</t>
        </is>
      </c>
      <c r="D238" s="19" t="inlineStr">
        <is>
          <t>Murray McIntosh Recruitment Consultancy</t>
        </is>
      </c>
      <c r="E238" s="19" t="inlineStr">
        <is>
          <t>Reading, Berkshire</t>
        </is>
      </c>
      <c r="F238" s="19" t="inlineStr">
        <is>
          <t>£50,000 – £75,000</t>
        </is>
      </c>
      <c r="G238" s="19" t="inlineStr">
        <is>
          <t>Adzuna UK</t>
        </is>
      </c>
      <c r="H238" s="20" t="inlineStr">
        <is>
          <t>CONFIRMED</t>
        </is>
      </c>
      <c r="I238" s="19" t="n">
        <v>55</v>
      </c>
      <c r="J238" s="21" t="inlineStr">
        <is>
          <t>Apply Here</t>
        </is>
      </c>
      <c r="K238" s="22" t="n"/>
      <c r="L238" s="22" t="n"/>
      <c r="M238" s="22" t="inlineStr">
        <is>
          <t>Pending</t>
        </is>
      </c>
      <c r="N238" s="23" t="n"/>
      <c r="O238" s="22" t="n"/>
    </row>
    <row r="239">
      <c r="A239" s="24" t="inlineStr">
        <is>
          <t>ed5e36105b42</t>
        </is>
      </c>
      <c r="B239" s="24" t="inlineStr">
        <is>
          <t>21/02/2026</t>
        </is>
      </c>
      <c r="C239" s="24" t="inlineStr">
        <is>
          <t>Mechanical Design Engineer - Water Sector</t>
        </is>
      </c>
      <c r="D239" s="24" t="inlineStr">
        <is>
          <t>Murray McIntosh Recruitment Consultancy</t>
        </is>
      </c>
      <c r="E239" s="24" t="inlineStr">
        <is>
          <t>Fleet, Hampshire</t>
        </is>
      </c>
      <c r="F239" s="24" t="inlineStr">
        <is>
          <t>£40,000 – £50,000</t>
        </is>
      </c>
      <c r="G239" s="24" t="inlineStr">
        <is>
          <t>Adzuna UK</t>
        </is>
      </c>
      <c r="H239" s="20" t="inlineStr">
        <is>
          <t>CONFIRMED</t>
        </is>
      </c>
      <c r="I239" s="24" t="n">
        <v>55</v>
      </c>
      <c r="J239" s="25" t="inlineStr">
        <is>
          <t>Apply Here</t>
        </is>
      </c>
      <c r="K239" s="26" t="n"/>
      <c r="L239" s="26" t="n"/>
      <c r="M239" s="26" t="inlineStr">
        <is>
          <t>Pending</t>
        </is>
      </c>
      <c r="N239" s="27" t="n"/>
      <c r="O239" s="26" t="n"/>
    </row>
    <row r="240">
      <c r="A240" s="19" t="inlineStr">
        <is>
          <t>4725a15896d0</t>
        </is>
      </c>
      <c r="B240" s="19" t="inlineStr">
        <is>
          <t>21/02/2026</t>
        </is>
      </c>
      <c r="C240" s="19" t="inlineStr">
        <is>
          <t>Mechanical Design Engineer - Water Sector</t>
        </is>
      </c>
      <c r="D240" s="19" t="inlineStr">
        <is>
          <t>Murray McIntosh Associates Ltd</t>
        </is>
      </c>
      <c r="E240" s="19" t="inlineStr">
        <is>
          <t>Artington, Guildford</t>
        </is>
      </c>
      <c r="F240" s="19" t="inlineStr">
        <is>
          <t>£40,000 – £50,000</t>
        </is>
      </c>
      <c r="G240" s="19" t="inlineStr">
        <is>
          <t>Adzuna UK</t>
        </is>
      </c>
      <c r="H240" s="20" t="inlineStr">
        <is>
          <t>CONFIRMED</t>
        </is>
      </c>
      <c r="I240" s="19" t="n">
        <v>55</v>
      </c>
      <c r="J240" s="21" t="inlineStr">
        <is>
          <t>Apply Here</t>
        </is>
      </c>
      <c r="K240" s="22" t="n"/>
      <c r="L240" s="22" t="n"/>
      <c r="M240" s="22" t="inlineStr">
        <is>
          <t>Pending</t>
        </is>
      </c>
      <c r="N240" s="23" t="n"/>
      <c r="O240" s="22" t="n"/>
    </row>
    <row r="241">
      <c r="A241" s="24" t="inlineStr">
        <is>
          <t>9b2b64881d68</t>
        </is>
      </c>
      <c r="B241" s="24" t="inlineStr">
        <is>
          <t>21/02/2026</t>
        </is>
      </c>
      <c r="C241" s="24" t="inlineStr">
        <is>
          <t>Drainage Design Engineer</t>
        </is>
      </c>
      <c r="D241" s="24" t="inlineStr">
        <is>
          <t>Pave Recruit</t>
        </is>
      </c>
      <c r="E241" s="24" t="inlineStr">
        <is>
          <t>Richmond, West London</t>
        </is>
      </c>
      <c r="F241" s="24" t="inlineStr">
        <is>
          <t>£38,000 – £44,000</t>
        </is>
      </c>
      <c r="G241" s="24" t="inlineStr">
        <is>
          <t>Adzuna UK</t>
        </is>
      </c>
      <c r="H241" s="20" t="inlineStr">
        <is>
          <t>CONFIRMED</t>
        </is>
      </c>
      <c r="I241" s="24" t="n">
        <v>55</v>
      </c>
      <c r="J241" s="25" t="inlineStr">
        <is>
          <t>Apply Here</t>
        </is>
      </c>
      <c r="K241" s="26" t="n"/>
      <c r="L241" s="26" t="n"/>
      <c r="M241" s="26" t="inlineStr">
        <is>
          <t>Pending</t>
        </is>
      </c>
      <c r="N241" s="27" t="n"/>
      <c r="O241" s="26" t="n"/>
    </row>
    <row r="242">
      <c r="A242" s="19" t="inlineStr">
        <is>
          <t>855bc5671b80</t>
        </is>
      </c>
      <c r="B242" s="19" t="inlineStr">
        <is>
          <t>21/02/2026</t>
        </is>
      </c>
      <c r="C242" s="19" t="inlineStr">
        <is>
          <t>Quality Engineer</t>
        </is>
      </c>
      <c r="D242" s="19" t="inlineStr">
        <is>
          <t>Rapiscan Systems</t>
        </is>
      </c>
      <c r="E242" s="19" t="inlineStr">
        <is>
          <t>Salfords, Redhill</t>
        </is>
      </c>
      <c r="F242" s="19" t="inlineStr">
        <is>
          <t>£49,199 – £49,199</t>
        </is>
      </c>
      <c r="G242" s="19" t="inlineStr">
        <is>
          <t>Adzuna UK</t>
        </is>
      </c>
      <c r="H242" s="20" t="inlineStr">
        <is>
          <t>CONFIRMED</t>
        </is>
      </c>
      <c r="I242" s="19" t="n">
        <v>55</v>
      </c>
      <c r="J242" s="21" t="inlineStr">
        <is>
          <t>Apply Here</t>
        </is>
      </c>
      <c r="K242" s="22" t="n"/>
      <c r="L242" s="22" t="n"/>
      <c r="M242" s="22" t="inlineStr">
        <is>
          <t>Pending</t>
        </is>
      </c>
      <c r="N242" s="23" t="n"/>
      <c r="O242" s="22" t="n"/>
    </row>
    <row r="243">
      <c r="A243" s="24" t="inlineStr">
        <is>
          <t>11a953f8a77a</t>
        </is>
      </c>
      <c r="B243" s="24" t="inlineStr">
        <is>
          <t>21/02/2026</t>
        </is>
      </c>
      <c r="C243" s="24" t="inlineStr">
        <is>
          <t>Quality Engineer</t>
        </is>
      </c>
      <c r="D243" s="24" t="inlineStr">
        <is>
          <t>Rapiscan Systems</t>
        </is>
      </c>
      <c r="E243" s="24" t="inlineStr">
        <is>
          <t>Salfords, Redhill</t>
        </is>
      </c>
      <c r="F243" s="24" t="inlineStr">
        <is>
          <t>£46,683 – £46,683</t>
        </is>
      </c>
      <c r="G243" s="24" t="inlineStr">
        <is>
          <t>Adzuna UK</t>
        </is>
      </c>
      <c r="H243" s="20" t="inlineStr">
        <is>
          <t>CONFIRMED</t>
        </is>
      </c>
      <c r="I243" s="24" t="n">
        <v>55</v>
      </c>
      <c r="J243" s="25" t="inlineStr">
        <is>
          <t>Apply Here</t>
        </is>
      </c>
      <c r="K243" s="26" t="n"/>
      <c r="L243" s="26" t="n"/>
      <c r="M243" s="26" t="inlineStr">
        <is>
          <t>Pending</t>
        </is>
      </c>
      <c r="N243" s="27" t="n"/>
      <c r="O243" s="26" t="n"/>
    </row>
    <row r="244">
      <c r="A244" s="19" t="inlineStr">
        <is>
          <t>1401977f6364</t>
        </is>
      </c>
      <c r="B244" s="19" t="inlineStr">
        <is>
          <t>22/02/2026</t>
        </is>
      </c>
      <c r="C244" s="19" t="inlineStr">
        <is>
          <t>Plumber</t>
        </is>
      </c>
      <c r="D244" s="19" t="inlineStr">
        <is>
          <t>WATES PROPERTY SERVICES LIMITED</t>
        </is>
      </c>
      <c r="E244" s="19" t="inlineStr">
        <is>
          <t>Crawley, West Sussex</t>
        </is>
      </c>
      <c r="F244" s="19" t="inlineStr">
        <is>
          <t>£50,654 – £50,654</t>
        </is>
      </c>
      <c r="G244" s="19" t="inlineStr">
        <is>
          <t>Adzuna UK</t>
        </is>
      </c>
      <c r="H244" s="20" t="inlineStr">
        <is>
          <t>CONFIRMED</t>
        </is>
      </c>
      <c r="I244" s="19" t="n">
        <v>70</v>
      </c>
      <c r="J244" s="21" t="inlineStr">
        <is>
          <t>Apply Here</t>
        </is>
      </c>
      <c r="K244" s="22" t="n"/>
      <c r="L244" s="22" t="n"/>
      <c r="M244" s="22" t="inlineStr">
        <is>
          <t>Pending</t>
        </is>
      </c>
      <c r="N244" s="23" t="n"/>
      <c r="O244" s="22" t="n"/>
    </row>
    <row r="245">
      <c r="A245" s="24" t="inlineStr">
        <is>
          <t>789d3251f27d</t>
        </is>
      </c>
      <c r="B245" s="24" t="inlineStr">
        <is>
          <t>22/02/2026</t>
        </is>
      </c>
      <c r="C245" s="24" t="inlineStr">
        <is>
          <t>Drainage Engineer</t>
        </is>
      </c>
      <c r="D245" s="24" t="inlineStr">
        <is>
          <t>CHARTWELL</t>
        </is>
      </c>
      <c r="E245" s="24" t="inlineStr">
        <is>
          <t>Chatham, Kent</t>
        </is>
      </c>
      <c r="F245" s="24" t="inlineStr">
        <is>
          <t>£45,000 – £45,000</t>
        </is>
      </c>
      <c r="G245" s="24" t="inlineStr">
        <is>
          <t>Adzuna UK</t>
        </is>
      </c>
      <c r="H245" s="20" t="inlineStr">
        <is>
          <t>CONFIRMED</t>
        </is>
      </c>
      <c r="I245" s="24" t="n">
        <v>70</v>
      </c>
      <c r="J245" s="25" t="inlineStr">
        <is>
          <t>Apply Here</t>
        </is>
      </c>
      <c r="K245" s="26" t="n"/>
      <c r="L245" s="26" t="n"/>
      <c r="M245" s="26" t="inlineStr">
        <is>
          <t>Pending</t>
        </is>
      </c>
      <c r="N245" s="27" t="n"/>
      <c r="O245" s="26" t="n"/>
    </row>
    <row r="246">
      <c r="A246" s="19" t="inlineStr">
        <is>
          <t>c616e1c50744</t>
        </is>
      </c>
      <c r="B246" s="19" t="inlineStr">
        <is>
          <t>22/02/2026</t>
        </is>
      </c>
      <c r="C246" s="19" t="inlineStr">
        <is>
          <t>Drainage Engineer</t>
        </is>
      </c>
      <c r="D246" s="19" t="inlineStr">
        <is>
          <t>Reed</t>
        </is>
      </c>
      <c r="E246" s="19" t="inlineStr">
        <is>
          <t>London, UK</t>
        </is>
      </c>
      <c r="F246" s="19" t="inlineStr">
        <is>
          <t>£40,000 – £50,000</t>
        </is>
      </c>
      <c r="G246" s="19" t="inlineStr">
        <is>
          <t>Adzuna UK</t>
        </is>
      </c>
      <c r="H246" s="20" t="inlineStr">
        <is>
          <t>CONFIRMED</t>
        </is>
      </c>
      <c r="I246" s="19" t="n">
        <v>70</v>
      </c>
      <c r="J246" s="21" t="inlineStr">
        <is>
          <t>Apply Here</t>
        </is>
      </c>
      <c r="K246" s="22" t="n"/>
      <c r="L246" s="22" t="n"/>
      <c r="M246" s="22" t="inlineStr">
        <is>
          <t>Pending</t>
        </is>
      </c>
      <c r="N246" s="23" t="n"/>
      <c r="O246" s="22" t="n"/>
    </row>
    <row r="247">
      <c r="A247" s="24" t="inlineStr">
        <is>
          <t>e73510d39fc9</t>
        </is>
      </c>
      <c r="B247" s="24" t="inlineStr">
        <is>
          <t>22/02/2026</t>
        </is>
      </c>
      <c r="C247" s="24" t="inlineStr">
        <is>
          <t>Civil Infrastructure Engineer</t>
        </is>
      </c>
      <c r="D247" s="24" t="inlineStr">
        <is>
          <t>Zodiac Recruitment</t>
        </is>
      </c>
      <c r="E247" s="24" t="inlineStr">
        <is>
          <t>Stone Cross, Crowborough</t>
        </is>
      </c>
      <c r="F247" s="24" t="inlineStr">
        <is>
          <t>£32,000 – £44,000</t>
        </is>
      </c>
      <c r="G247" s="24" t="inlineStr">
        <is>
          <t>Adzuna UK</t>
        </is>
      </c>
      <c r="H247" s="20" t="inlineStr">
        <is>
          <t>CONFIRMED</t>
        </is>
      </c>
      <c r="I247" s="24" t="n">
        <v>70</v>
      </c>
      <c r="J247" s="25" t="inlineStr">
        <is>
          <t>Apply Here</t>
        </is>
      </c>
      <c r="K247" s="26" t="n"/>
      <c r="L247" s="26" t="n"/>
      <c r="M247" s="26" t="inlineStr">
        <is>
          <t>Pending</t>
        </is>
      </c>
      <c r="N247" s="27" t="n"/>
      <c r="O247" s="26" t="n"/>
    </row>
    <row r="248">
      <c r="A248" s="19" t="inlineStr">
        <is>
          <t>9a03b192f1b4</t>
        </is>
      </c>
      <c r="B248" s="19" t="inlineStr">
        <is>
          <t>22/02/2026</t>
        </is>
      </c>
      <c r="C248" s="19" t="inlineStr">
        <is>
          <t>Drainage Engineer</t>
        </is>
      </c>
      <c r="D248" s="19" t="inlineStr">
        <is>
          <t>Ernest Gordon Recruitment</t>
        </is>
      </c>
      <c r="E248" s="19" t="inlineStr">
        <is>
          <t>South Croydon, South East London</t>
        </is>
      </c>
      <c r="F248" s="19" t="inlineStr">
        <is>
          <t>£45,000 – £45,000</t>
        </is>
      </c>
      <c r="G248" s="19" t="inlineStr">
        <is>
          <t>Adzuna UK</t>
        </is>
      </c>
      <c r="H248" s="20" t="inlineStr">
        <is>
          <t>CONFIRMED</t>
        </is>
      </c>
      <c r="I248" s="19" t="n">
        <v>70</v>
      </c>
      <c r="J248" s="21" t="inlineStr">
        <is>
          <t>Apply Here</t>
        </is>
      </c>
      <c r="K248" s="22" t="n"/>
      <c r="L248" s="22" t="n"/>
      <c r="M248" s="22" t="inlineStr">
        <is>
          <t>Pending</t>
        </is>
      </c>
      <c r="N248" s="23" t="n"/>
      <c r="O248" s="22" t="n"/>
    </row>
    <row r="249">
      <c r="A249" s="24" t="inlineStr">
        <is>
          <t>c927c4a8f6e4</t>
        </is>
      </c>
      <c r="B249" s="24" t="inlineStr">
        <is>
          <t>22/02/2026</t>
        </is>
      </c>
      <c r="C249" s="24" t="inlineStr">
        <is>
          <t>Drainage Engineer</t>
        </is>
      </c>
      <c r="D249" s="24" t="inlineStr">
        <is>
          <t>Ernest Gordon Recruitment Limited</t>
        </is>
      </c>
      <c r="E249" s="24" t="inlineStr">
        <is>
          <t>South Croydon, South East London</t>
        </is>
      </c>
      <c r="F249" s="24" t="inlineStr">
        <is>
          <t>£35,000 – £45,000</t>
        </is>
      </c>
      <c r="G249" s="24" t="inlineStr">
        <is>
          <t>Adzuna UK</t>
        </is>
      </c>
      <c r="H249" s="20" t="inlineStr">
        <is>
          <t>CONFIRMED</t>
        </is>
      </c>
      <c r="I249" s="24" t="n">
        <v>70</v>
      </c>
      <c r="J249" s="25" t="inlineStr">
        <is>
          <t>Apply Here</t>
        </is>
      </c>
      <c r="K249" s="26" t="n"/>
      <c r="L249" s="26" t="n"/>
      <c r="M249" s="26" t="inlineStr">
        <is>
          <t>Pending</t>
        </is>
      </c>
      <c r="N249" s="27" t="n"/>
      <c r="O249" s="26" t="n"/>
    </row>
    <row r="250">
      <c r="A250" s="19" t="inlineStr">
        <is>
          <t>7267f6a7cef5</t>
        </is>
      </c>
      <c r="B250" s="19" t="inlineStr">
        <is>
          <t>22/02/2026</t>
        </is>
      </c>
      <c r="C250" s="19" t="inlineStr">
        <is>
          <t>Drainage Engineer</t>
        </is>
      </c>
      <c r="D250" s="19" t="inlineStr">
        <is>
          <t>Ernest Gordon Recruitment Limited</t>
        </is>
      </c>
      <c r="E250" s="19" t="inlineStr">
        <is>
          <t>Croydon, London</t>
        </is>
      </c>
      <c r="F250" s="19" t="inlineStr">
        <is>
          <t>£35,000 – £45,000</t>
        </is>
      </c>
      <c r="G250" s="19" t="inlineStr">
        <is>
          <t>Adzuna UK</t>
        </is>
      </c>
      <c r="H250" s="20" t="inlineStr">
        <is>
          <t>CONFIRMED</t>
        </is>
      </c>
      <c r="I250" s="19" t="n">
        <v>70</v>
      </c>
      <c r="J250" s="21" t="inlineStr">
        <is>
          <t>Apply Here</t>
        </is>
      </c>
      <c r="K250" s="22" t="n"/>
      <c r="L250" s="22" t="n"/>
      <c r="M250" s="22" t="inlineStr">
        <is>
          <t>Pending</t>
        </is>
      </c>
      <c r="N250" s="23" t="n"/>
      <c r="O250" s="22" t="n"/>
    </row>
    <row r="251">
      <c r="A251" s="24" t="inlineStr">
        <is>
          <t>83c438657e84</t>
        </is>
      </c>
      <c r="B251" s="24" t="inlineStr">
        <is>
          <t>22/02/2026</t>
        </is>
      </c>
      <c r="C251" s="24" t="inlineStr">
        <is>
          <t>Hydraulics Engineers - UK Wide</t>
        </is>
      </c>
      <c r="D251" s="24" t="inlineStr">
        <is>
          <t>Jacobs</t>
        </is>
      </c>
      <c r="E251" s="24" t="inlineStr">
        <is>
          <t>Reading, Berkshire</t>
        </is>
      </c>
      <c r="F251" s="24" t="inlineStr">
        <is>
          <t>£48,252 – £48,252</t>
        </is>
      </c>
      <c r="G251" s="24" t="inlineStr">
        <is>
          <t>Adzuna UK</t>
        </is>
      </c>
      <c r="H251" s="20" t="inlineStr">
        <is>
          <t>CONFIRMED</t>
        </is>
      </c>
      <c r="I251" s="24" t="n">
        <v>65</v>
      </c>
      <c r="J251" s="25" t="inlineStr">
        <is>
          <t>Apply Here</t>
        </is>
      </c>
      <c r="K251" s="26" t="n"/>
      <c r="L251" s="26" t="n"/>
      <c r="M251" s="26" t="inlineStr">
        <is>
          <t>Pending</t>
        </is>
      </c>
      <c r="N251" s="27" t="n"/>
      <c r="O251" s="26" t="n"/>
    </row>
    <row r="252">
      <c r="A252" s="19" t="inlineStr">
        <is>
          <t>688c82a3c686</t>
        </is>
      </c>
      <c r="B252" s="19" t="inlineStr">
        <is>
          <t>22/02/2026</t>
        </is>
      </c>
      <c r="C252" s="19" t="inlineStr">
        <is>
          <t>Hydraulics Engineers - UK Wide</t>
        </is>
      </c>
      <c r="D252" s="19" t="inlineStr">
        <is>
          <t>Jacobs</t>
        </is>
      </c>
      <c r="E252" s="19" t="inlineStr">
        <is>
          <t>London, UK</t>
        </is>
      </c>
      <c r="F252" s="19" t="inlineStr">
        <is>
          <t>£49,369 – £49,369</t>
        </is>
      </c>
      <c r="G252" s="19" t="inlineStr">
        <is>
          <t>Adzuna UK</t>
        </is>
      </c>
      <c r="H252" s="20" t="inlineStr">
        <is>
          <t>CONFIRMED</t>
        </is>
      </c>
      <c r="I252" s="19" t="n">
        <v>65</v>
      </c>
      <c r="J252" s="21" t="inlineStr">
        <is>
          <t>Apply Here</t>
        </is>
      </c>
      <c r="K252" s="22" t="n"/>
      <c r="L252" s="22" t="n"/>
      <c r="M252" s="22" t="inlineStr">
        <is>
          <t>Pending</t>
        </is>
      </c>
      <c r="N252" s="23" t="n"/>
      <c r="O252" s="22" t="n"/>
    </row>
    <row r="253">
      <c r="A253" s="24" t="inlineStr">
        <is>
          <t>914f7afe285c</t>
        </is>
      </c>
      <c r="B253" s="24" t="inlineStr">
        <is>
          <t>22/02/2026</t>
        </is>
      </c>
      <c r="C253" s="24" t="inlineStr">
        <is>
          <t>Civil Design Engineer</t>
        </is>
      </c>
      <c r="D253" s="24" t="inlineStr">
        <is>
          <t>Murray McIntosh Recruitment Consultancy</t>
        </is>
      </c>
      <c r="E253" s="24" t="inlineStr">
        <is>
          <t>Fleet, Hampshire</t>
        </is>
      </c>
      <c r="F253" s="24" t="inlineStr">
        <is>
          <t>£50,000 – £65,000</t>
        </is>
      </c>
      <c r="G253" s="24" t="inlineStr">
        <is>
          <t>Adzuna UK</t>
        </is>
      </c>
      <c r="H253" s="20" t="inlineStr">
        <is>
          <t>CONFIRMED</t>
        </is>
      </c>
      <c r="I253" s="24" t="n">
        <v>60</v>
      </c>
      <c r="J253" s="25" t="inlineStr">
        <is>
          <t>Apply Here</t>
        </is>
      </c>
      <c r="K253" s="26" t="n"/>
      <c r="L253" s="26" t="n"/>
      <c r="M253" s="26" t="inlineStr">
        <is>
          <t>Pending</t>
        </is>
      </c>
      <c r="N253" s="27" t="n"/>
      <c r="O253" s="26" t="n"/>
    </row>
    <row r="254">
      <c r="A254" s="19" t="inlineStr">
        <is>
          <t>a347b3891ecd</t>
        </is>
      </c>
      <c r="B254" s="19" t="inlineStr">
        <is>
          <t>22/02/2026</t>
        </is>
      </c>
      <c r="C254" s="19" t="inlineStr">
        <is>
          <t>Civil Design Engineer</t>
        </is>
      </c>
      <c r="D254" s="19" t="inlineStr">
        <is>
          <t>Murray McIntosh Associates Ltd</t>
        </is>
      </c>
      <c r="E254" s="19" t="inlineStr">
        <is>
          <t>Artington, Guildford</t>
        </is>
      </c>
      <c r="F254" s="19" t="inlineStr">
        <is>
          <t>£50,000 – £65,000</t>
        </is>
      </c>
      <c r="G254" s="19" t="inlineStr">
        <is>
          <t>Adzuna UK</t>
        </is>
      </c>
      <c r="H254" s="20" t="inlineStr">
        <is>
          <t>CONFIRMED</t>
        </is>
      </c>
      <c r="I254" s="19" t="n">
        <v>60</v>
      </c>
      <c r="J254" s="21" t="inlineStr">
        <is>
          <t>Apply Here</t>
        </is>
      </c>
      <c r="K254" s="22" t="n"/>
      <c r="L254" s="22" t="n"/>
      <c r="M254" s="22" t="inlineStr">
        <is>
          <t>Pending</t>
        </is>
      </c>
      <c r="N254" s="23" t="n"/>
      <c r="O254" s="22" t="n"/>
    </row>
    <row r="255">
      <c r="A255" s="24" t="inlineStr">
        <is>
          <t>e945ae9de8f5</t>
        </is>
      </c>
      <c r="B255" s="24" t="inlineStr">
        <is>
          <t>22/02/2026</t>
        </is>
      </c>
      <c r="C255" s="24" t="inlineStr">
        <is>
          <t>Civil Design Engineer</t>
        </is>
      </c>
      <c r="D255" s="24" t="inlineStr">
        <is>
          <t>Murray McIntosh Recruitment Consultancy</t>
        </is>
      </c>
      <c r="E255" s="24" t="inlineStr">
        <is>
          <t>Fleet, Hampshire</t>
        </is>
      </c>
      <c r="F255" s="24" t="inlineStr">
        <is>
          <t>£50,000 – £65,000</t>
        </is>
      </c>
      <c r="G255" s="24" t="inlineStr">
        <is>
          <t>Adzuna UK</t>
        </is>
      </c>
      <c r="H255" s="20" t="inlineStr">
        <is>
          <t>CONFIRMED</t>
        </is>
      </c>
      <c r="I255" s="24" t="n">
        <v>60</v>
      </c>
      <c r="J255" s="25" t="inlineStr">
        <is>
          <t>Apply Here</t>
        </is>
      </c>
      <c r="K255" s="26" t="n"/>
      <c r="L255" s="26" t="n"/>
      <c r="M255" s="26" t="inlineStr">
        <is>
          <t>Pending</t>
        </is>
      </c>
      <c r="N255" s="27" t="n"/>
      <c r="O255" s="26" t="n"/>
    </row>
    <row r="256">
      <c r="A256" s="19" t="inlineStr">
        <is>
          <t>73dc16486928</t>
        </is>
      </c>
      <c r="B256" s="19" t="inlineStr">
        <is>
          <t>22/02/2026</t>
        </is>
      </c>
      <c r="C256" s="19" t="inlineStr">
        <is>
          <t>Civil Design Engineer</t>
        </is>
      </c>
      <c r="D256" s="19" t="inlineStr">
        <is>
          <t>Murray McIntosh Associates Ltd</t>
        </is>
      </c>
      <c r="E256" s="19" t="inlineStr">
        <is>
          <t>Artington, Guildford</t>
        </is>
      </c>
      <c r="F256" s="19" t="inlineStr">
        <is>
          <t>£50,000 – £65,000</t>
        </is>
      </c>
      <c r="G256" s="19" t="inlineStr">
        <is>
          <t>Adzuna UK</t>
        </is>
      </c>
      <c r="H256" s="20" t="inlineStr">
        <is>
          <t>CONFIRMED</t>
        </is>
      </c>
      <c r="I256" s="19" t="n">
        <v>60</v>
      </c>
      <c r="J256" s="21" t="inlineStr">
        <is>
          <t>Apply Here</t>
        </is>
      </c>
      <c r="K256" s="22" t="n"/>
      <c r="L256" s="22" t="n"/>
      <c r="M256" s="22" t="inlineStr">
        <is>
          <t>Pending</t>
        </is>
      </c>
      <c r="N256" s="23" t="n"/>
      <c r="O256" s="22" t="n"/>
    </row>
    <row r="257">
      <c r="A257" s="24" t="inlineStr">
        <is>
          <t>44b56711faa4</t>
        </is>
      </c>
      <c r="B257" s="24" t="inlineStr">
        <is>
          <t>22/02/2026</t>
        </is>
      </c>
      <c r="C257" s="24" t="inlineStr">
        <is>
          <t>Senior Civil Engineer</t>
        </is>
      </c>
      <c r="D257" s="24" t="inlineStr">
        <is>
          <t>Penguin Recruitment</t>
        </is>
      </c>
      <c r="E257" s="24" t="inlineStr">
        <is>
          <t>Denner Hill, Great Missenden</t>
        </is>
      </c>
      <c r="F257" s="24" t="inlineStr">
        <is>
          <t>£38,000 – £60,000</t>
        </is>
      </c>
      <c r="G257" s="24" t="inlineStr">
        <is>
          <t>Adzuna UK</t>
        </is>
      </c>
      <c r="H257" s="20" t="inlineStr">
        <is>
          <t>CONFIRMED</t>
        </is>
      </c>
      <c r="I257" s="24" t="n">
        <v>60</v>
      </c>
      <c r="J257" s="25" t="inlineStr">
        <is>
          <t>Apply Here</t>
        </is>
      </c>
      <c r="K257" s="26" t="n"/>
      <c r="L257" s="26" t="n"/>
      <c r="M257" s="26" t="inlineStr">
        <is>
          <t>Pending</t>
        </is>
      </c>
      <c r="N257" s="27" t="n"/>
      <c r="O257" s="26" t="n"/>
    </row>
    <row r="258">
      <c r="A258" s="19" t="inlineStr">
        <is>
          <t>256d2e97687f</t>
        </is>
      </c>
      <c r="B258" s="19" t="inlineStr">
        <is>
          <t>22/02/2026</t>
        </is>
      </c>
      <c r="C258" s="19" t="inlineStr">
        <is>
          <t>Senior Civil Engineer</t>
        </is>
      </c>
      <c r="D258" s="19" t="inlineStr">
        <is>
          <t>Penguin Recruitment</t>
        </is>
      </c>
      <c r="E258" s="19" t="inlineStr">
        <is>
          <t>Denner Hill, Great Missenden</t>
        </is>
      </c>
      <c r="F258" s="19" t="inlineStr">
        <is>
          <t>£38,000 – £60,000</t>
        </is>
      </c>
      <c r="G258" s="19" t="inlineStr">
        <is>
          <t>Adzuna UK</t>
        </is>
      </c>
      <c r="H258" s="20" t="inlineStr">
        <is>
          <t>CONFIRMED</t>
        </is>
      </c>
      <c r="I258" s="19" t="n">
        <v>60</v>
      </c>
      <c r="J258" s="21" t="inlineStr">
        <is>
          <t>Apply Here</t>
        </is>
      </c>
      <c r="K258" s="22" t="n"/>
      <c r="L258" s="22" t="n"/>
      <c r="M258" s="22" t="inlineStr">
        <is>
          <t>Pending</t>
        </is>
      </c>
      <c r="N258" s="23" t="n"/>
      <c r="O258" s="22" t="n"/>
    </row>
    <row r="259">
      <c r="A259" s="24" t="inlineStr">
        <is>
          <t>4e7d698282fa</t>
        </is>
      </c>
      <c r="B259" s="24" t="inlineStr">
        <is>
          <t>22/02/2026</t>
        </is>
      </c>
      <c r="C259" s="24" t="inlineStr">
        <is>
          <t>Assistant Quantity Surveyor / Estimator - Civil Engineering</t>
        </is>
      </c>
      <c r="D259" s="24" t="inlineStr">
        <is>
          <t>Henley Chase</t>
        </is>
      </c>
      <c r="E259" s="24" t="inlineStr">
        <is>
          <t>New Haw, Addlestone</t>
        </is>
      </c>
      <c r="F259" s="24" t="inlineStr">
        <is>
          <t>£30,000 – £50,000</t>
        </is>
      </c>
      <c r="G259" s="24" t="inlineStr">
        <is>
          <t>Adzuna UK</t>
        </is>
      </c>
      <c r="H259" s="20" t="inlineStr">
        <is>
          <t>CONFIRMED</t>
        </is>
      </c>
      <c r="I259" s="24" t="n">
        <v>60</v>
      </c>
      <c r="J259" s="25" t="inlineStr">
        <is>
          <t>Apply Here</t>
        </is>
      </c>
      <c r="K259" s="26" t="n"/>
      <c r="L259" s="26" t="n"/>
      <c r="M259" s="26" t="inlineStr">
        <is>
          <t>Pending</t>
        </is>
      </c>
      <c r="N259" s="27" t="n"/>
      <c r="O259" s="26" t="n"/>
    </row>
    <row r="260">
      <c r="A260" s="19" t="inlineStr">
        <is>
          <t>1b74c42c9785</t>
        </is>
      </c>
      <c r="B260" s="19" t="inlineStr">
        <is>
          <t>22/02/2026</t>
        </is>
      </c>
      <c r="C260" s="19" t="inlineStr">
        <is>
          <t>Junior Quantity Surveyor / Estimator - Civil Engineering</t>
        </is>
      </c>
      <c r="D260" s="19" t="inlineStr">
        <is>
          <t>Henley Chase Limited</t>
        </is>
      </c>
      <c r="E260" s="19" t="inlineStr">
        <is>
          <t>Addlestone, Surrey</t>
        </is>
      </c>
      <c r="F260" s="19" t="inlineStr">
        <is>
          <t>£30,000 – £50,000</t>
        </is>
      </c>
      <c r="G260" s="19" t="inlineStr">
        <is>
          <t>Adzuna UK</t>
        </is>
      </c>
      <c r="H260" s="20" t="inlineStr">
        <is>
          <t>CONFIRMED</t>
        </is>
      </c>
      <c r="I260" s="19" t="n">
        <v>60</v>
      </c>
      <c r="J260" s="21" t="inlineStr">
        <is>
          <t>Apply Here</t>
        </is>
      </c>
      <c r="K260" s="22" t="n"/>
      <c r="L260" s="22" t="n"/>
      <c r="M260" s="22" t="inlineStr">
        <is>
          <t>Pending</t>
        </is>
      </c>
      <c r="N260" s="23" t="n"/>
      <c r="O260" s="22" t="n"/>
    </row>
    <row r="261">
      <c r="A261" s="24" t="inlineStr">
        <is>
          <t>0aa79c24bcd2</t>
        </is>
      </c>
      <c r="B261" s="24" t="inlineStr">
        <is>
          <t>22/02/2026</t>
        </is>
      </c>
      <c r="C261" s="24" t="inlineStr">
        <is>
          <t>Senior Engineer - Flood Risk &amp; Drainage</t>
        </is>
      </c>
      <c r="D261" s="24" t="inlineStr">
        <is>
          <t>Aztrum</t>
        </is>
      </c>
      <c r="E261" s="24" t="inlineStr">
        <is>
          <t>Ash Vale, Aldershot</t>
        </is>
      </c>
      <c r="F261" s="24" t="inlineStr">
        <is>
          <t>£45,000 – £55,000</t>
        </is>
      </c>
      <c r="G261" s="24" t="inlineStr">
        <is>
          <t>Adzuna UK</t>
        </is>
      </c>
      <c r="H261" s="20" t="inlineStr">
        <is>
          <t>CONFIRMED</t>
        </is>
      </c>
      <c r="I261" s="24" t="n">
        <v>60</v>
      </c>
      <c r="J261" s="25" t="inlineStr">
        <is>
          <t>Apply Here</t>
        </is>
      </c>
      <c r="K261" s="26" t="n"/>
      <c r="L261" s="26" t="n"/>
      <c r="M261" s="26" t="inlineStr">
        <is>
          <t>Pending</t>
        </is>
      </c>
      <c r="N261" s="27" t="n"/>
      <c r="O261" s="26" t="n"/>
    </row>
    <row r="262">
      <c r="A262" s="19" t="inlineStr">
        <is>
          <t>e84e5adb7f21</t>
        </is>
      </c>
      <c r="B262" s="19" t="inlineStr">
        <is>
          <t>22/02/2026</t>
        </is>
      </c>
      <c r="C262" s="19" t="inlineStr">
        <is>
          <t>Civil Engineer (Highway / Drainage)</t>
        </is>
      </c>
      <c r="D262" s="19" t="inlineStr">
        <is>
          <t>Additional Resources Ltd</t>
        </is>
      </c>
      <c r="E262" s="19" t="inlineStr">
        <is>
          <t>Henley-On-Thames, Oxfordshire</t>
        </is>
      </c>
      <c r="F262" s="19" t="inlineStr">
        <is>
          <t>£30,000 – £60,000</t>
        </is>
      </c>
      <c r="G262" s="19" t="inlineStr">
        <is>
          <t>Adzuna UK</t>
        </is>
      </c>
      <c r="H262" s="20" t="inlineStr">
        <is>
          <t>CONFIRMED</t>
        </is>
      </c>
      <c r="I262" s="19" t="n">
        <v>60</v>
      </c>
      <c r="J262" s="21" t="inlineStr">
        <is>
          <t>Apply Here</t>
        </is>
      </c>
      <c r="K262" s="22" t="n"/>
      <c r="L262" s="22" t="n"/>
      <c r="M262" s="22" t="inlineStr">
        <is>
          <t>Pending</t>
        </is>
      </c>
      <c r="N262" s="23" t="n"/>
      <c r="O262" s="22" t="n"/>
    </row>
    <row r="263">
      <c r="A263" s="24" t="inlineStr">
        <is>
          <t>032f8a8ecf37</t>
        </is>
      </c>
      <c r="B263" s="24" t="inlineStr">
        <is>
          <t>22/02/2026</t>
        </is>
      </c>
      <c r="C263" s="24" t="inlineStr">
        <is>
          <t>Mechanical Design Engineer - Water Sector</t>
        </is>
      </c>
      <c r="D263" s="24" t="inlineStr">
        <is>
          <t>Murray McIntosh &amp; Associates Limited</t>
        </is>
      </c>
      <c r="E263" s="24" t="inlineStr">
        <is>
          <t>Church Crookham, Fleet</t>
        </is>
      </c>
      <c r="F263" s="24" t="inlineStr">
        <is>
          <t>£50,000 – £50,000</t>
        </is>
      </c>
      <c r="G263" s="24" t="inlineStr">
        <is>
          <t>Adzuna UK</t>
        </is>
      </c>
      <c r="H263" s="20" t="inlineStr">
        <is>
          <t>CONFIRMED</t>
        </is>
      </c>
      <c r="I263" s="24" t="n">
        <v>55</v>
      </c>
      <c r="J263" s="25" t="inlineStr">
        <is>
          <t>Apply Here</t>
        </is>
      </c>
      <c r="K263" s="26" t="n"/>
      <c r="L263" s="26" t="n"/>
      <c r="M263" s="26" t="inlineStr">
        <is>
          <t>Pending</t>
        </is>
      </c>
      <c r="N263" s="27" t="n"/>
      <c r="O263" s="26" t="n"/>
    </row>
    <row r="264">
      <c r="A264" s="19" t="inlineStr">
        <is>
          <t>bc680b3739a2</t>
        </is>
      </c>
      <c r="B264" s="19" t="inlineStr">
        <is>
          <t>22/02/2026</t>
        </is>
      </c>
      <c r="C264" s="19" t="inlineStr">
        <is>
          <t>Structural Design Engineer</t>
        </is>
      </c>
      <c r="D264" s="19" t="inlineStr">
        <is>
          <t>Murray McIntosh Recruitment Consultancy</t>
        </is>
      </c>
      <c r="E264" s="19" t="inlineStr">
        <is>
          <t>Reading, Berkshire</t>
        </is>
      </c>
      <c r="F264" s="19" t="inlineStr">
        <is>
          <t>£50,000 – £75,000</t>
        </is>
      </c>
      <c r="G264" s="19" t="inlineStr">
        <is>
          <t>Adzuna UK</t>
        </is>
      </c>
      <c r="H264" s="20" t="inlineStr">
        <is>
          <t>CONFIRMED</t>
        </is>
      </c>
      <c r="I264" s="19" t="n">
        <v>55</v>
      </c>
      <c r="J264" s="21" t="inlineStr">
        <is>
          <t>Apply Here</t>
        </is>
      </c>
      <c r="K264" s="22" t="n"/>
      <c r="L264" s="22" t="n"/>
      <c r="M264" s="22" t="inlineStr">
        <is>
          <t>Pending</t>
        </is>
      </c>
      <c r="N264" s="23" t="n"/>
      <c r="O264" s="22" t="n"/>
    </row>
    <row r="265">
      <c r="A265" s="24" t="inlineStr">
        <is>
          <t>fb13f3ee86ad</t>
        </is>
      </c>
      <c r="B265" s="24" t="inlineStr">
        <is>
          <t>22/02/2026</t>
        </is>
      </c>
      <c r="C265" s="24" t="inlineStr">
        <is>
          <t>Mechanical Design Engineer - Water Sector</t>
        </is>
      </c>
      <c r="D265" s="24" t="inlineStr">
        <is>
          <t>Murray McIntosh Recruitment Consultancy</t>
        </is>
      </c>
      <c r="E265" s="24" t="inlineStr">
        <is>
          <t>Fleet, Hampshire</t>
        </is>
      </c>
      <c r="F265" s="24" t="inlineStr">
        <is>
          <t>£40,000 – £50,000</t>
        </is>
      </c>
      <c r="G265" s="24" t="inlineStr">
        <is>
          <t>Adzuna UK</t>
        </is>
      </c>
      <c r="H265" s="20" t="inlineStr">
        <is>
          <t>CONFIRMED</t>
        </is>
      </c>
      <c r="I265" s="24" t="n">
        <v>55</v>
      </c>
      <c r="J265" s="25" t="inlineStr">
        <is>
          <t>Apply Here</t>
        </is>
      </c>
      <c r="K265" s="26" t="n"/>
      <c r="L265" s="26" t="n"/>
      <c r="M265" s="26" t="inlineStr">
        <is>
          <t>Pending</t>
        </is>
      </c>
      <c r="N265" s="27" t="n"/>
      <c r="O265" s="26" t="n"/>
    </row>
    <row r="266">
      <c r="A266" s="19" t="inlineStr">
        <is>
          <t>81166ce45dcd</t>
        </is>
      </c>
      <c r="B266" s="19" t="inlineStr">
        <is>
          <t>22/02/2026</t>
        </is>
      </c>
      <c r="C266" s="19" t="inlineStr">
        <is>
          <t>Mechanical Design Engineer - Water Sector</t>
        </is>
      </c>
      <c r="D266" s="19" t="inlineStr">
        <is>
          <t>Murray McIntosh Associates Ltd</t>
        </is>
      </c>
      <c r="E266" s="19" t="inlineStr">
        <is>
          <t>Artington, Guildford</t>
        </is>
      </c>
      <c r="F266" s="19" t="inlineStr">
        <is>
          <t>£40,000 – £50,000</t>
        </is>
      </c>
      <c r="G266" s="19" t="inlineStr">
        <is>
          <t>Adzuna UK</t>
        </is>
      </c>
      <c r="H266" s="20" t="inlineStr">
        <is>
          <t>CONFIRMED</t>
        </is>
      </c>
      <c r="I266" s="19" t="n">
        <v>55</v>
      </c>
      <c r="J266" s="21" t="inlineStr">
        <is>
          <t>Apply Here</t>
        </is>
      </c>
      <c r="K266" s="22" t="n"/>
      <c r="L266" s="22" t="n"/>
      <c r="M266" s="22" t="inlineStr">
        <is>
          <t>Pending</t>
        </is>
      </c>
      <c r="N266" s="23" t="n"/>
      <c r="O266" s="22" t="n"/>
    </row>
    <row r="267">
      <c r="A267" s="24" t="inlineStr">
        <is>
          <t>07eff080e8d0</t>
        </is>
      </c>
      <c r="B267" s="24" t="inlineStr">
        <is>
          <t>22/02/2026</t>
        </is>
      </c>
      <c r="C267" s="24" t="inlineStr">
        <is>
          <t>Drainage Design Engineer</t>
        </is>
      </c>
      <c r="D267" s="24" t="inlineStr">
        <is>
          <t>Pave Recruit</t>
        </is>
      </c>
      <c r="E267" s="24" t="inlineStr">
        <is>
          <t>Richmond, West London</t>
        </is>
      </c>
      <c r="F267" s="24" t="inlineStr">
        <is>
          <t>£38,000 – £44,000</t>
        </is>
      </c>
      <c r="G267" s="24" t="inlineStr">
        <is>
          <t>Adzuna UK</t>
        </is>
      </c>
      <c r="H267" s="20" t="inlineStr">
        <is>
          <t>CONFIRMED</t>
        </is>
      </c>
      <c r="I267" s="24" t="n">
        <v>55</v>
      </c>
      <c r="J267" s="25" t="inlineStr">
        <is>
          <t>Apply Here</t>
        </is>
      </c>
      <c r="K267" s="26" t="n"/>
      <c r="L267" s="26" t="n"/>
      <c r="M267" s="26" t="inlineStr">
        <is>
          <t>Pending</t>
        </is>
      </c>
      <c r="N267" s="27" t="n"/>
      <c r="O267" s="26" t="n"/>
    </row>
    <row r="268">
      <c r="A268" s="19" t="inlineStr">
        <is>
          <t>5492b74d2c62</t>
        </is>
      </c>
      <c r="B268" s="19" t="inlineStr">
        <is>
          <t>22/02/2026</t>
        </is>
      </c>
      <c r="C268" s="19" t="inlineStr">
        <is>
          <t>Quality Engineer</t>
        </is>
      </c>
      <c r="D268" s="19" t="inlineStr">
        <is>
          <t>Rapiscan Systems</t>
        </is>
      </c>
      <c r="E268" s="19" t="inlineStr">
        <is>
          <t>Salfords, Redhill</t>
        </is>
      </c>
      <c r="F268" s="19" t="inlineStr">
        <is>
          <t>£46,683 – £46,683</t>
        </is>
      </c>
      <c r="G268" s="19" t="inlineStr">
        <is>
          <t>Adzuna UK</t>
        </is>
      </c>
      <c r="H268" s="20" t="inlineStr">
        <is>
          <t>CONFIRMED</t>
        </is>
      </c>
      <c r="I268" s="19" t="n">
        <v>55</v>
      </c>
      <c r="J268" s="21" t="inlineStr">
        <is>
          <t>Apply Here</t>
        </is>
      </c>
      <c r="K268" s="22" t="n"/>
      <c r="L268" s="22" t="n"/>
      <c r="M268" s="22" t="inlineStr">
        <is>
          <t>Pending</t>
        </is>
      </c>
      <c r="N268" s="23" t="n"/>
      <c r="O268" s="22" t="n"/>
    </row>
    <row r="269">
      <c r="A269" s="24" t="inlineStr">
        <is>
          <t>77ba6cefcd2c</t>
        </is>
      </c>
      <c r="B269" s="24" t="inlineStr">
        <is>
          <t>22/02/2026</t>
        </is>
      </c>
      <c r="C269" s="24" t="inlineStr">
        <is>
          <t>Assistant Engineer - Clean Water Modelling</t>
        </is>
      </c>
      <c r="D269" s="24" t="inlineStr">
        <is>
          <t>WSP</t>
        </is>
      </c>
      <c r="E269" s="24" t="inlineStr">
        <is>
          <t>Aldwych, Central London</t>
        </is>
      </c>
      <c r="F269" s="24" t="inlineStr">
        <is>
          <t>£45,209 – £45,209</t>
        </is>
      </c>
      <c r="G269" s="24" t="inlineStr">
        <is>
          <t>Adzuna UK</t>
        </is>
      </c>
      <c r="H269" s="20" t="inlineStr">
        <is>
          <t>CONFIRMED</t>
        </is>
      </c>
      <c r="I269" s="24" t="n">
        <v>55</v>
      </c>
      <c r="J269" s="25" t="inlineStr">
        <is>
          <t>Apply Here</t>
        </is>
      </c>
      <c r="K269" s="26" t="n"/>
      <c r="L269" s="26" t="n"/>
      <c r="M269" s="26" t="inlineStr">
        <is>
          <t>Pending</t>
        </is>
      </c>
      <c r="N269" s="27" t="n"/>
      <c r="O269" s="26" t="n"/>
    </row>
    <row r="270" ht="16" customHeight="1">
      <c r="A270" s="28" t="inlineStr">
        <is>
          <t>6be8a415f3d6</t>
        </is>
      </c>
      <c r="B270" s="28" t="inlineStr">
        <is>
          <t>22/02/2026</t>
        </is>
      </c>
      <c r="C270" s="28" t="inlineStr">
        <is>
          <t>Senior Water Network Engineer/Modellers</t>
        </is>
      </c>
      <c r="D270" s="28" t="inlineStr">
        <is>
          <t>Jacobs</t>
        </is>
      </c>
      <c r="E270" s="28" t="inlineStr">
        <is>
          <t>Reading, Berkshire</t>
        </is>
      </c>
      <c r="F270" s="28" t="inlineStr">
        <is>
          <t>£50,253 – £50,253</t>
        </is>
      </c>
      <c r="G270" s="28" t="inlineStr">
        <is>
          <t>Adzuna UK</t>
        </is>
      </c>
      <c r="H270" s="29" t="inlineStr">
        <is>
          <t>CONFIRMED</t>
        </is>
      </c>
      <c r="I270" s="28" t="n">
        <v>115</v>
      </c>
      <c r="J270" s="30" t="inlineStr">
        <is>
          <t>Apply Here</t>
        </is>
      </c>
      <c r="K270" s="31" t="inlineStr"/>
      <c r="L270" s="31" t="inlineStr"/>
      <c r="M270" s="31" t="inlineStr">
        <is>
          <t>Pending</t>
        </is>
      </c>
      <c r="N270" s="32" t="inlineStr"/>
      <c r="O270" s="31" t="inlineStr"/>
    </row>
    <row r="271" ht="16" customHeight="1">
      <c r="A271" s="33" t="inlineStr">
        <is>
          <t>a44547004c6e</t>
        </is>
      </c>
      <c r="B271" s="33" t="inlineStr">
        <is>
          <t>22/02/2026</t>
        </is>
      </c>
      <c r="C271" s="33" t="inlineStr">
        <is>
          <t>Hydraulics Engineers - UK Wide</t>
        </is>
      </c>
      <c r="D271" s="33" t="inlineStr">
        <is>
          <t>Jacobs</t>
        </is>
      </c>
      <c r="E271" s="33" t="inlineStr">
        <is>
          <t>Reading, Berkshire</t>
        </is>
      </c>
      <c r="F271" s="33" t="inlineStr">
        <is>
          <t>£48,252 – £48,252</t>
        </is>
      </c>
      <c r="G271" s="33" t="inlineStr">
        <is>
          <t>Adzuna UK</t>
        </is>
      </c>
      <c r="H271" s="29" t="inlineStr">
        <is>
          <t>CONFIRMED</t>
        </is>
      </c>
      <c r="I271" s="33" t="n">
        <v>90</v>
      </c>
      <c r="J271" s="34" t="inlineStr">
        <is>
          <t>Apply Here</t>
        </is>
      </c>
      <c r="K271" s="35" t="inlineStr"/>
      <c r="L271" s="35" t="inlineStr"/>
      <c r="M271" s="35" t="inlineStr">
        <is>
          <t>Pending</t>
        </is>
      </c>
      <c r="N271" s="36" t="inlineStr"/>
      <c r="O271" s="35" t="inlineStr"/>
    </row>
    <row r="272" ht="16" customHeight="1">
      <c r="A272" s="28" t="inlineStr">
        <is>
          <t>b533be7869a9</t>
        </is>
      </c>
      <c r="B272" s="28" t="inlineStr">
        <is>
          <t>22/02/2026</t>
        </is>
      </c>
      <c r="C272" s="28" t="inlineStr">
        <is>
          <t>Hydraulics Engineers - UK Wide</t>
        </is>
      </c>
      <c r="D272" s="28" t="inlineStr">
        <is>
          <t>Jacobs</t>
        </is>
      </c>
      <c r="E272" s="28" t="inlineStr">
        <is>
          <t>London, UK</t>
        </is>
      </c>
      <c r="F272" s="28" t="inlineStr">
        <is>
          <t>£49,369 – £49,369</t>
        </is>
      </c>
      <c r="G272" s="28" t="inlineStr">
        <is>
          <t>Adzuna UK</t>
        </is>
      </c>
      <c r="H272" s="29" t="inlineStr">
        <is>
          <t>CONFIRMED</t>
        </is>
      </c>
      <c r="I272" s="28" t="n">
        <v>90</v>
      </c>
      <c r="J272" s="30" t="inlineStr">
        <is>
          <t>Apply Here</t>
        </is>
      </c>
      <c r="K272" s="31" t="inlineStr"/>
      <c r="L272" s="31" t="inlineStr"/>
      <c r="M272" s="31" t="inlineStr">
        <is>
          <t>Pending</t>
        </is>
      </c>
      <c r="N272" s="32" t="inlineStr"/>
      <c r="O272" s="31" t="inlineStr"/>
    </row>
    <row r="273" ht="16" customHeight="1">
      <c r="A273" s="33" t="inlineStr">
        <is>
          <t>bdc709b0e510</t>
        </is>
      </c>
      <c r="B273" s="33" t="inlineStr">
        <is>
          <t>22/02/2026</t>
        </is>
      </c>
      <c r="C273" s="33" t="inlineStr">
        <is>
          <t>Civil Design Engineer</t>
        </is>
      </c>
      <c r="D273" s="33" t="inlineStr">
        <is>
          <t>Murray McIntosh Recruitment Consultancy</t>
        </is>
      </c>
      <c r="E273" s="33" t="inlineStr">
        <is>
          <t>Fleet, Hampshire</t>
        </is>
      </c>
      <c r="F273" s="33" t="inlineStr">
        <is>
          <t>£50,000 – £65,000</t>
        </is>
      </c>
      <c r="G273" s="33" t="inlineStr">
        <is>
          <t>Adzuna UK</t>
        </is>
      </c>
      <c r="H273" s="29" t="inlineStr">
        <is>
          <t>CONFIRMED</t>
        </is>
      </c>
      <c r="I273" s="33" t="n">
        <v>85</v>
      </c>
      <c r="J273" s="34" t="inlineStr">
        <is>
          <t>Apply Here</t>
        </is>
      </c>
      <c r="K273" s="35" t="inlineStr"/>
      <c r="L273" s="35" t="inlineStr"/>
      <c r="M273" s="35" t="inlineStr">
        <is>
          <t>Pending</t>
        </is>
      </c>
      <c r="N273" s="36" t="inlineStr"/>
      <c r="O273" s="35" t="inlineStr"/>
    </row>
    <row r="274" ht="16" customHeight="1">
      <c r="A274" s="28" t="inlineStr">
        <is>
          <t>c783bc8ff987</t>
        </is>
      </c>
      <c r="B274" s="28" t="inlineStr">
        <is>
          <t>22/02/2026</t>
        </is>
      </c>
      <c r="C274" s="28" t="inlineStr">
        <is>
          <t>Civil Design Engineer</t>
        </is>
      </c>
      <c r="D274" s="28" t="inlineStr">
        <is>
          <t>Murray McIntosh Associates Ltd</t>
        </is>
      </c>
      <c r="E274" s="28" t="inlineStr">
        <is>
          <t>Artington, Guildford</t>
        </is>
      </c>
      <c r="F274" s="28" t="inlineStr">
        <is>
          <t>£50,000 – £65,000</t>
        </is>
      </c>
      <c r="G274" s="28" t="inlineStr">
        <is>
          <t>Adzuna UK</t>
        </is>
      </c>
      <c r="H274" s="29" t="inlineStr">
        <is>
          <t>CONFIRMED</t>
        </is>
      </c>
      <c r="I274" s="28" t="n">
        <v>85</v>
      </c>
      <c r="J274" s="30" t="inlineStr">
        <is>
          <t>Apply Here</t>
        </is>
      </c>
      <c r="K274" s="31" t="inlineStr"/>
      <c r="L274" s="31" t="inlineStr"/>
      <c r="M274" s="31" t="inlineStr">
        <is>
          <t>Pending</t>
        </is>
      </c>
      <c r="N274" s="32" t="inlineStr"/>
      <c r="O274" s="31" t="inlineStr"/>
    </row>
    <row r="275" ht="16" customHeight="1">
      <c r="A275" s="33" t="inlineStr">
        <is>
          <t>76de9f084cbc</t>
        </is>
      </c>
      <c r="B275" s="33" t="inlineStr">
        <is>
          <t>22/02/2026</t>
        </is>
      </c>
      <c r="C275" s="33" t="inlineStr">
        <is>
          <t>Senior Electrical Engineer - Water Projects</t>
        </is>
      </c>
      <c r="D275" s="33" t="inlineStr">
        <is>
          <t>AECOM</t>
        </is>
      </c>
      <c r="E275" s="33" t="inlineStr">
        <is>
          <t>Croydon, London</t>
        </is>
      </c>
      <c r="F275" s="33" t="inlineStr">
        <is>
          <t>£51,555 – £51,555</t>
        </is>
      </c>
      <c r="G275" s="33" t="inlineStr">
        <is>
          <t>Adzuna UK</t>
        </is>
      </c>
      <c r="H275" s="29" t="inlineStr">
        <is>
          <t>CONFIRMED</t>
        </is>
      </c>
      <c r="I275" s="33" t="n">
        <v>85</v>
      </c>
      <c r="J275" s="34" t="inlineStr">
        <is>
          <t>Apply Here</t>
        </is>
      </c>
      <c r="K275" s="35" t="inlineStr"/>
      <c r="L275" s="35" t="inlineStr"/>
      <c r="M275" s="35" t="inlineStr">
        <is>
          <t>Pending</t>
        </is>
      </c>
      <c r="N275" s="36" t="inlineStr"/>
      <c r="O275" s="35" t="inlineStr"/>
    </row>
    <row r="276" ht="16" customHeight="1">
      <c r="A276" s="28" t="inlineStr">
        <is>
          <t>33a5953210ce</t>
        </is>
      </c>
      <c r="B276" s="28" t="inlineStr">
        <is>
          <t>22/02/2026</t>
        </is>
      </c>
      <c r="C276" s="28" t="inlineStr">
        <is>
          <t>Senior Electrical Engineer - Water Projects</t>
        </is>
      </c>
      <c r="D276" s="28" t="inlineStr">
        <is>
          <t>AECOM</t>
        </is>
      </c>
      <c r="E276" s="28" t="inlineStr">
        <is>
          <t>London, UK</t>
        </is>
      </c>
      <c r="F276" s="28" t="inlineStr">
        <is>
          <t>£53,100 – £53,100</t>
        </is>
      </c>
      <c r="G276" s="28" t="inlineStr">
        <is>
          <t>Adzuna UK</t>
        </is>
      </c>
      <c r="H276" s="29" t="inlineStr">
        <is>
          <t>CONFIRMED</t>
        </is>
      </c>
      <c r="I276" s="28" t="n">
        <v>85</v>
      </c>
      <c r="J276" s="30" t="inlineStr">
        <is>
          <t>Apply Here</t>
        </is>
      </c>
      <c r="K276" s="31" t="inlineStr"/>
      <c r="L276" s="31" t="inlineStr"/>
      <c r="M276" s="31" t="inlineStr">
        <is>
          <t>Pending</t>
        </is>
      </c>
      <c r="N276" s="32" t="inlineStr"/>
      <c r="O276" s="31" t="inlineStr"/>
    </row>
    <row r="277" ht="16" customHeight="1">
      <c r="A277" s="33" t="inlineStr">
        <is>
          <t>de0ec3c61ed2</t>
        </is>
      </c>
      <c r="B277" s="33" t="inlineStr">
        <is>
          <t>22/02/2026</t>
        </is>
      </c>
      <c r="C277" s="33" t="inlineStr">
        <is>
          <t>Senior Electrical Engineer - Water Projects</t>
        </is>
      </c>
      <c r="D277" s="33" t="inlineStr">
        <is>
          <t>AECOM</t>
        </is>
      </c>
      <c r="E277" s="33" t="inlineStr">
        <is>
          <t>St. Albans, Hertfordshire</t>
        </is>
      </c>
      <c r="F277" s="33" t="inlineStr">
        <is>
          <t>£52,221 – £52,221</t>
        </is>
      </c>
      <c r="G277" s="33" t="inlineStr">
        <is>
          <t>Adzuna UK</t>
        </is>
      </c>
      <c r="H277" s="29" t="inlineStr">
        <is>
          <t>CONFIRMED</t>
        </is>
      </c>
      <c r="I277" s="33" t="n">
        <v>85</v>
      </c>
      <c r="J277" s="34" t="inlineStr">
        <is>
          <t>Apply Here</t>
        </is>
      </c>
      <c r="K277" s="35" t="inlineStr"/>
      <c r="L277" s="35" t="inlineStr"/>
      <c r="M277" s="35" t="inlineStr">
        <is>
          <t>Pending</t>
        </is>
      </c>
      <c r="N277" s="36" t="inlineStr"/>
      <c r="O277" s="35" t="inlineStr"/>
    </row>
    <row r="278" ht="16" customHeight="1">
      <c r="A278" s="28" t="inlineStr">
        <is>
          <t>d7216dba69f0</t>
        </is>
      </c>
      <c r="B278" s="28" t="inlineStr">
        <is>
          <t>22/02/2026</t>
        </is>
      </c>
      <c r="C278" s="28" t="inlineStr">
        <is>
          <t>Senior Mechanical Engineer - Water</t>
        </is>
      </c>
      <c r="D278" s="28" t="inlineStr">
        <is>
          <t>AECOM</t>
        </is>
      </c>
      <c r="E278" s="28" t="inlineStr">
        <is>
          <t>London, UK</t>
        </is>
      </c>
      <c r="F278" s="28" t="inlineStr">
        <is>
          <t>£47,744 – £47,744</t>
        </is>
      </c>
      <c r="G278" s="28" t="inlineStr">
        <is>
          <t>Adzuna UK</t>
        </is>
      </c>
      <c r="H278" s="29" t="inlineStr">
        <is>
          <t>CONFIRMED</t>
        </is>
      </c>
      <c r="I278" s="28" t="n">
        <v>85</v>
      </c>
      <c r="J278" s="30" t="inlineStr">
        <is>
          <t>Apply Here</t>
        </is>
      </c>
      <c r="K278" s="31" t="inlineStr"/>
      <c r="L278" s="31" t="inlineStr"/>
      <c r="M278" s="31" t="inlineStr">
        <is>
          <t>Pending</t>
        </is>
      </c>
      <c r="N278" s="32" t="inlineStr"/>
      <c r="O278" s="31" t="inlineStr"/>
    </row>
    <row r="279" ht="16" customHeight="1">
      <c r="A279" s="33" t="inlineStr">
        <is>
          <t>442a8dc583ae</t>
        </is>
      </c>
      <c r="B279" s="33" t="inlineStr">
        <is>
          <t>22/02/2026</t>
        </is>
      </c>
      <c r="C279" s="33" t="inlineStr">
        <is>
          <t>Senior Mechanical Engineer - Water</t>
        </is>
      </c>
      <c r="D279" s="33" t="inlineStr">
        <is>
          <t>AECOM</t>
        </is>
      </c>
      <c r="E279" s="33" t="inlineStr">
        <is>
          <t>St. Albans, Hertfordshire</t>
        </is>
      </c>
      <c r="F279" s="33" t="inlineStr">
        <is>
          <t>£46,954 – £46,954</t>
        </is>
      </c>
      <c r="G279" s="33" t="inlineStr">
        <is>
          <t>Adzuna UK</t>
        </is>
      </c>
      <c r="H279" s="29" t="inlineStr">
        <is>
          <t>CONFIRMED</t>
        </is>
      </c>
      <c r="I279" s="33" t="n">
        <v>85</v>
      </c>
      <c r="J279" s="34" t="inlineStr">
        <is>
          <t>Apply Here</t>
        </is>
      </c>
      <c r="K279" s="35" t="inlineStr"/>
      <c r="L279" s="35" t="inlineStr"/>
      <c r="M279" s="35" t="inlineStr">
        <is>
          <t>Pending</t>
        </is>
      </c>
      <c r="N279" s="36" t="inlineStr"/>
      <c r="O279" s="35" t="inlineStr"/>
    </row>
    <row r="280" ht="16" customHeight="1">
      <c r="A280" s="28" t="inlineStr">
        <is>
          <t>47c8dd068ca1</t>
        </is>
      </c>
      <c r="B280" s="28" t="inlineStr">
        <is>
          <t>22/02/2026</t>
        </is>
      </c>
      <c r="C280" s="28" t="inlineStr">
        <is>
          <t>Senior Mechanical Engineer - Water</t>
        </is>
      </c>
      <c r="D280" s="28" t="inlineStr">
        <is>
          <t>AECOM</t>
        </is>
      </c>
      <c r="E280" s="28" t="inlineStr">
        <is>
          <t>Croydon, London</t>
        </is>
      </c>
      <c r="F280" s="28" t="inlineStr">
        <is>
          <t>£46,355 – £46,355</t>
        </is>
      </c>
      <c r="G280" s="28" t="inlineStr">
        <is>
          <t>Adzuna UK</t>
        </is>
      </c>
      <c r="H280" s="29" t="inlineStr">
        <is>
          <t>CONFIRMED</t>
        </is>
      </c>
      <c r="I280" s="28" t="n">
        <v>85</v>
      </c>
      <c r="J280" s="30" t="inlineStr">
        <is>
          <t>Apply Here</t>
        </is>
      </c>
      <c r="K280" s="31" t="inlineStr"/>
      <c r="L280" s="31" t="inlineStr"/>
      <c r="M280" s="31" t="inlineStr">
        <is>
          <t>Pending</t>
        </is>
      </c>
      <c r="N280" s="32" t="inlineStr"/>
      <c r="O280" s="31" t="inlineStr"/>
    </row>
    <row r="281" ht="16" customHeight="1">
      <c r="A281" s="33" t="inlineStr">
        <is>
          <t>9d38eeba62b6</t>
        </is>
      </c>
      <c r="B281" s="33" t="inlineStr">
        <is>
          <t>22/02/2026</t>
        </is>
      </c>
      <c r="C281" s="33" t="inlineStr">
        <is>
          <t>Operations Engineer</t>
        </is>
      </c>
      <c r="D281" s="33" t="inlineStr">
        <is>
          <t>ESP Utilities Group Ltd</t>
        </is>
      </c>
      <c r="E281" s="33" t="inlineStr">
        <is>
          <t>Leatherhead, Surrey</t>
        </is>
      </c>
      <c r="F281" s="33" t="inlineStr">
        <is>
          <t>£54,364 – £54,364</t>
        </is>
      </c>
      <c r="G281" s="33" t="inlineStr">
        <is>
          <t>Adzuna UK</t>
        </is>
      </c>
      <c r="H281" s="29" t="inlineStr">
        <is>
          <t>CONFIRMED</t>
        </is>
      </c>
      <c r="I281" s="33" t="n">
        <v>80</v>
      </c>
      <c r="J281" s="34" t="inlineStr">
        <is>
          <t>Apply Here</t>
        </is>
      </c>
      <c r="K281" s="35" t="inlineStr"/>
      <c r="L281" s="35" t="inlineStr"/>
      <c r="M281" s="35" t="inlineStr">
        <is>
          <t>Pending</t>
        </is>
      </c>
      <c r="N281" s="36" t="inlineStr"/>
      <c r="O281" s="35" t="inlineStr"/>
    </row>
    <row r="282" ht="16" customHeight="1">
      <c r="A282" s="28" t="inlineStr">
        <is>
          <t>a7539bff5c69</t>
        </is>
      </c>
      <c r="B282" s="28" t="inlineStr">
        <is>
          <t>22/02/2026</t>
        </is>
      </c>
      <c r="C282" s="28" t="inlineStr">
        <is>
          <t>Senior Electrical Engineer - Water Projects</t>
        </is>
      </c>
      <c r="D282" s="28" t="inlineStr">
        <is>
          <t>AECOM</t>
        </is>
      </c>
      <c r="E282" s="28" t="inlineStr">
        <is>
          <t>Croydon, London</t>
        </is>
      </c>
      <c r="F282" s="28" t="inlineStr">
        <is>
          <t>£47,734 – £47,734</t>
        </is>
      </c>
      <c r="G282" s="28" t="inlineStr">
        <is>
          <t>Adzuna UK</t>
        </is>
      </c>
      <c r="H282" s="29" t="inlineStr">
        <is>
          <t>CONFIRMED</t>
        </is>
      </c>
      <c r="I282" s="28" t="n">
        <v>55</v>
      </c>
      <c r="J282" s="30" t="inlineStr">
        <is>
          <t>Apply Here</t>
        </is>
      </c>
      <c r="K282" s="31" t="inlineStr"/>
      <c r="L282" s="31" t="inlineStr"/>
      <c r="M282" s="31" t="inlineStr">
        <is>
          <t>Pending</t>
        </is>
      </c>
      <c r="N282" s="32" t="inlineStr"/>
      <c r="O282" s="31" t="inlineStr"/>
    </row>
    <row r="283" ht="16" customHeight="1">
      <c r="A283" s="33" t="inlineStr">
        <is>
          <t>ea1e4b2de380</t>
        </is>
      </c>
      <c r="B283" s="33" t="inlineStr">
        <is>
          <t>22/02/2026</t>
        </is>
      </c>
      <c r="C283" s="33" t="inlineStr">
        <is>
          <t>Senior Electrical Engineer - Water Projects</t>
        </is>
      </c>
      <c r="D283" s="33" t="inlineStr">
        <is>
          <t>AECOM</t>
        </is>
      </c>
      <c r="E283" s="33" t="inlineStr">
        <is>
          <t>St. Albans, Hertfordshire</t>
        </is>
      </c>
      <c r="F283" s="33" t="inlineStr">
        <is>
          <t>£48,482 – £48,482</t>
        </is>
      </c>
      <c r="G283" s="33" t="inlineStr">
        <is>
          <t>Adzuna UK</t>
        </is>
      </c>
      <c r="H283" s="29" t="inlineStr">
        <is>
          <t>CONFIRMED</t>
        </is>
      </c>
      <c r="I283" s="33" t="n">
        <v>55</v>
      </c>
      <c r="J283" s="34" t="inlineStr">
        <is>
          <t>Apply Here</t>
        </is>
      </c>
      <c r="K283" s="35" t="inlineStr"/>
      <c r="L283" s="35" t="inlineStr"/>
      <c r="M283" s="35" t="inlineStr">
        <is>
          <t>Pending</t>
        </is>
      </c>
      <c r="N283" s="36" t="inlineStr"/>
      <c r="O283" s="35" t="inlineStr"/>
    </row>
    <row r="284" ht="16" customHeight="1">
      <c r="A284" s="28" t="inlineStr">
        <is>
          <t>3465e06e78fd</t>
        </is>
      </c>
      <c r="B284" s="28" t="inlineStr">
        <is>
          <t>22/02/2026</t>
        </is>
      </c>
      <c r="C284" s="28" t="inlineStr">
        <is>
          <t>Senior Electrical Engineer - Water Projects</t>
        </is>
      </c>
      <c r="D284" s="28" t="inlineStr">
        <is>
          <t>AECOM</t>
        </is>
      </c>
      <c r="E284" s="28" t="inlineStr">
        <is>
          <t>London, UK</t>
        </is>
      </c>
      <c r="F284" s="28" t="inlineStr">
        <is>
          <t>£49,911 – £49,911</t>
        </is>
      </c>
      <c r="G284" s="28" t="inlineStr">
        <is>
          <t>Adzuna UK</t>
        </is>
      </c>
      <c r="H284" s="29" t="inlineStr">
        <is>
          <t>CONFIRMED</t>
        </is>
      </c>
      <c r="I284" s="28" t="n">
        <v>55</v>
      </c>
      <c r="J284" s="30" t="inlineStr">
        <is>
          <t>Apply Here</t>
        </is>
      </c>
      <c r="K284" s="31" t="inlineStr"/>
      <c r="L284" s="31" t="inlineStr"/>
      <c r="M284" s="31" t="inlineStr">
        <is>
          <t>Pending</t>
        </is>
      </c>
      <c r="N284" s="32" t="inlineStr"/>
      <c r="O284" s="31" t="inlineStr"/>
    </row>
    <row r="285" ht="16" customHeight="1">
      <c r="A285" s="33" t="inlineStr">
        <is>
          <t>72e94d4ff422</t>
        </is>
      </c>
      <c r="B285" s="33" t="inlineStr">
        <is>
          <t>22/02/2026</t>
        </is>
      </c>
      <c r="C285" s="33" t="inlineStr">
        <is>
          <t>Mechanical Design Engineer - Water Sector</t>
        </is>
      </c>
      <c r="D285" s="33" t="inlineStr">
        <is>
          <t>Murray McIntosh &amp; Associates Limited</t>
        </is>
      </c>
      <c r="E285" s="33" t="inlineStr">
        <is>
          <t>Church Crookham, Fleet</t>
        </is>
      </c>
      <c r="F285" s="33" t="inlineStr">
        <is>
          <t>£50,000 – £50,000</t>
        </is>
      </c>
      <c r="G285" s="33" t="inlineStr">
        <is>
          <t>Adzuna UK</t>
        </is>
      </c>
      <c r="H285" s="29" t="inlineStr">
        <is>
          <t>CONFIRMED</t>
        </is>
      </c>
      <c r="I285" s="33" t="n">
        <v>55</v>
      </c>
      <c r="J285" s="34" t="inlineStr">
        <is>
          <t>Apply Here</t>
        </is>
      </c>
      <c r="K285" s="35" t="inlineStr"/>
      <c r="L285" s="35" t="inlineStr"/>
      <c r="M285" s="35" t="inlineStr">
        <is>
          <t>Pending</t>
        </is>
      </c>
      <c r="N285" s="36" t="inlineStr"/>
      <c r="O285" s="35" t="inlineStr"/>
    </row>
    <row r="286" ht="16" customHeight="1">
      <c r="A286" s="28" t="inlineStr">
        <is>
          <t>60919139560b</t>
        </is>
      </c>
      <c r="B286" s="28" t="inlineStr">
        <is>
          <t>22/02/2026</t>
        </is>
      </c>
      <c r="C286" s="28" t="inlineStr">
        <is>
          <t>Mechanical Design Engineer - Water Sector</t>
        </is>
      </c>
      <c r="D286" s="28" t="inlineStr">
        <is>
          <t>Murray McIntosh Recruitment Consultancy</t>
        </is>
      </c>
      <c r="E286" s="28" t="inlineStr">
        <is>
          <t>Fleet, Hampshire</t>
        </is>
      </c>
      <c r="F286" s="28" t="inlineStr">
        <is>
          <t>£40,000 – £50,000</t>
        </is>
      </c>
      <c r="G286" s="28" t="inlineStr">
        <is>
          <t>Adzuna UK</t>
        </is>
      </c>
      <c r="H286" s="29" t="inlineStr">
        <is>
          <t>CONFIRMED</t>
        </is>
      </c>
      <c r="I286" s="28" t="n">
        <v>55</v>
      </c>
      <c r="J286" s="30" t="inlineStr">
        <is>
          <t>Apply Here</t>
        </is>
      </c>
      <c r="K286" s="31" t="inlineStr"/>
      <c r="L286" s="31" t="inlineStr"/>
      <c r="M286" s="31" t="inlineStr">
        <is>
          <t>Pending</t>
        </is>
      </c>
      <c r="N286" s="32" t="inlineStr"/>
      <c r="O286" s="31" t="inlineStr"/>
    </row>
    <row r="287" ht="16" customHeight="1">
      <c r="A287" s="33" t="inlineStr">
        <is>
          <t>e5c3014a76d0</t>
        </is>
      </c>
      <c r="B287" s="33" t="inlineStr">
        <is>
          <t>22/02/2026</t>
        </is>
      </c>
      <c r="C287" s="33" t="inlineStr">
        <is>
          <t>Mechanical Design Engineer - Water Sector</t>
        </is>
      </c>
      <c r="D287" s="33" t="inlineStr">
        <is>
          <t>Murray McIntosh Associates Ltd</t>
        </is>
      </c>
      <c r="E287" s="33" t="inlineStr">
        <is>
          <t>Artington, Guildford</t>
        </is>
      </c>
      <c r="F287" s="33" t="inlineStr">
        <is>
          <t>£40,000 – £50,000</t>
        </is>
      </c>
      <c r="G287" s="33" t="inlineStr">
        <is>
          <t>Adzuna UK</t>
        </is>
      </c>
      <c r="H287" s="29" t="inlineStr">
        <is>
          <t>CONFIRMED</t>
        </is>
      </c>
      <c r="I287" s="33" t="n">
        <v>55</v>
      </c>
      <c r="J287" s="34" t="inlineStr">
        <is>
          <t>Apply Here</t>
        </is>
      </c>
      <c r="K287" s="35" t="inlineStr"/>
      <c r="L287" s="35" t="inlineStr"/>
      <c r="M287" s="35" t="inlineStr">
        <is>
          <t>Pending</t>
        </is>
      </c>
      <c r="N287" s="36" t="inlineStr"/>
      <c r="O287" s="35" t="inlineStr"/>
    </row>
    <row r="288" ht="16" customHeight="1">
      <c r="A288" s="28" t="inlineStr">
        <is>
          <t>a404e8e9892f</t>
        </is>
      </c>
      <c r="B288" s="28" t="inlineStr">
        <is>
          <t>22/02/2026</t>
        </is>
      </c>
      <c r="C288" s="28" t="inlineStr">
        <is>
          <t>Drainage Design Engineer</t>
        </is>
      </c>
      <c r="D288" s="28" t="inlineStr">
        <is>
          <t>Pave Recruit</t>
        </is>
      </c>
      <c r="E288" s="28" t="inlineStr">
        <is>
          <t>Richmond, West London</t>
        </is>
      </c>
      <c r="F288" s="28" t="inlineStr">
        <is>
          <t>£38,000 – £44,000</t>
        </is>
      </c>
      <c r="G288" s="28" t="inlineStr">
        <is>
          <t>Adzuna UK</t>
        </is>
      </c>
      <c r="H288" s="29" t="inlineStr">
        <is>
          <t>CONFIRMED</t>
        </is>
      </c>
      <c r="I288" s="28" t="n">
        <v>55</v>
      </c>
      <c r="J288" s="30" t="inlineStr">
        <is>
          <t>Apply Here</t>
        </is>
      </c>
      <c r="K288" s="31" t="inlineStr"/>
      <c r="L288" s="31" t="inlineStr"/>
      <c r="M288" s="31" t="inlineStr">
        <is>
          <t>Pending</t>
        </is>
      </c>
      <c r="N288" s="32" t="inlineStr"/>
      <c r="O288" s="31" t="inlineStr"/>
    </row>
    <row r="289" ht="16" customHeight="1">
      <c r="A289" s="33" t="inlineStr">
        <is>
          <t>1463eee791f7</t>
        </is>
      </c>
      <c r="B289" s="33" t="inlineStr">
        <is>
          <t>22/02/2026</t>
        </is>
      </c>
      <c r="C289" s="33" t="inlineStr">
        <is>
          <t>Senior Mechanical Engineer - Water</t>
        </is>
      </c>
      <c r="D289" s="33" t="inlineStr">
        <is>
          <t>AECOM</t>
        </is>
      </c>
      <c r="E289" s="33" t="inlineStr">
        <is>
          <t>St. Albans, Hertfordshire</t>
        </is>
      </c>
      <c r="F289" s="33" t="inlineStr">
        <is>
          <t>£45,822 – £45,822</t>
        </is>
      </c>
      <c r="G289" s="33" t="inlineStr">
        <is>
          <t>Adzuna UK</t>
        </is>
      </c>
      <c r="H289" s="29" t="inlineStr">
        <is>
          <t>CONFIRMED</t>
        </is>
      </c>
      <c r="I289" s="33" t="n">
        <v>55</v>
      </c>
      <c r="J289" s="34" t="inlineStr">
        <is>
          <t>Apply Here</t>
        </is>
      </c>
      <c r="K289" s="35" t="inlineStr"/>
      <c r="L289" s="35" t="inlineStr"/>
      <c r="M289" s="35" t="inlineStr">
        <is>
          <t>Pending</t>
        </is>
      </c>
      <c r="N289" s="36" t="inlineStr"/>
      <c r="O289" s="35" t="inlineStr"/>
    </row>
    <row r="290" ht="16" customHeight="1">
      <c r="A290" s="28" t="inlineStr">
        <is>
          <t>ca7e6262c249</t>
        </is>
      </c>
      <c r="B290" s="28" t="inlineStr">
        <is>
          <t>22/02/2026</t>
        </is>
      </c>
      <c r="C290" s="28" t="inlineStr">
        <is>
          <t>Senior Mechanical Engineer - Water</t>
        </is>
      </c>
      <c r="D290" s="28" t="inlineStr">
        <is>
          <t>AECOM</t>
        </is>
      </c>
      <c r="E290" s="28" t="inlineStr">
        <is>
          <t>London, UK</t>
        </is>
      </c>
      <c r="F290" s="28" t="inlineStr">
        <is>
          <t>£47,172 – £47,172</t>
        </is>
      </c>
      <c r="G290" s="28" t="inlineStr">
        <is>
          <t>Adzuna UK</t>
        </is>
      </c>
      <c r="H290" s="29" t="inlineStr">
        <is>
          <t>CONFIRMED</t>
        </is>
      </c>
      <c r="I290" s="28" t="n">
        <v>55</v>
      </c>
      <c r="J290" s="30" t="inlineStr">
        <is>
          <t>Apply Here</t>
        </is>
      </c>
      <c r="K290" s="31" t="inlineStr"/>
      <c r="L290" s="31" t="inlineStr"/>
      <c r="M290" s="31" t="inlineStr">
        <is>
          <t>Pending</t>
        </is>
      </c>
      <c r="N290" s="32" t="inlineStr"/>
      <c r="O290" s="31" t="inlineStr"/>
    </row>
    <row r="291" ht="16" customHeight="1">
      <c r="A291" s="33" t="inlineStr">
        <is>
          <t>d62bf2bbd601</t>
        </is>
      </c>
      <c r="B291" s="33" t="inlineStr">
        <is>
          <t>22/02/2026</t>
        </is>
      </c>
      <c r="C291" s="33" t="inlineStr">
        <is>
          <t>Senior Mechanical Engineer - Water</t>
        </is>
      </c>
      <c r="D291" s="33" t="inlineStr">
        <is>
          <t>AECOM</t>
        </is>
      </c>
      <c r="E291" s="33" t="inlineStr">
        <is>
          <t>Croydon, London</t>
        </is>
      </c>
      <c r="F291" s="33" t="inlineStr">
        <is>
          <t>£45,115 – £45,115</t>
        </is>
      </c>
      <c r="G291" s="33" t="inlineStr">
        <is>
          <t>Adzuna UK</t>
        </is>
      </c>
      <c r="H291" s="29" t="inlineStr">
        <is>
          <t>CONFIRMED</t>
        </is>
      </c>
      <c r="I291" s="33" t="n">
        <v>55</v>
      </c>
      <c r="J291" s="34" t="inlineStr">
        <is>
          <t>Apply Here</t>
        </is>
      </c>
      <c r="K291" s="35" t="inlineStr"/>
      <c r="L291" s="35" t="inlineStr"/>
      <c r="M291" s="35" t="inlineStr">
        <is>
          <t>Pending</t>
        </is>
      </c>
      <c r="N291" s="36" t="inlineStr"/>
      <c r="O291" s="35" t="inlineStr"/>
    </row>
    <row r="292" ht="16" customHeight="1">
      <c r="A292" s="28" t="inlineStr">
        <is>
          <t>2ed940b1e206</t>
        </is>
      </c>
      <c r="B292" s="28" t="inlineStr">
        <is>
          <t>22/02/2026</t>
        </is>
      </c>
      <c r="C292" s="28" t="inlineStr">
        <is>
          <t>Grow Your Career In The Water Sector - Expression of Interest</t>
        </is>
      </c>
      <c r="D292" s="28" t="inlineStr">
        <is>
          <t>AECOM</t>
        </is>
      </c>
      <c r="E292" s="28" t="inlineStr">
        <is>
          <t>St. Albans, Hertfordshire</t>
        </is>
      </c>
      <c r="F292" s="28" t="inlineStr">
        <is>
          <t>£45,523 – £45,523</t>
        </is>
      </c>
      <c r="G292" s="28" t="inlineStr">
        <is>
          <t>Adzuna UK</t>
        </is>
      </c>
      <c r="H292" s="29" t="inlineStr">
        <is>
          <t>CONFIRMED</t>
        </is>
      </c>
      <c r="I292" s="28" t="n">
        <v>55</v>
      </c>
      <c r="J292" s="30" t="inlineStr">
        <is>
          <t>Apply Here</t>
        </is>
      </c>
      <c r="K292" s="31" t="inlineStr"/>
      <c r="L292" s="31" t="inlineStr"/>
      <c r="M292" s="31" t="inlineStr">
        <is>
          <t>Pending</t>
        </is>
      </c>
      <c r="N292" s="32" t="inlineStr"/>
      <c r="O292" s="31" t="inlineStr"/>
    </row>
    <row r="293" ht="16" customHeight="1">
      <c r="A293" s="33" t="inlineStr">
        <is>
          <t>f423fafcf7a1</t>
        </is>
      </c>
      <c r="B293" s="33" t="inlineStr">
        <is>
          <t>22/02/2026</t>
        </is>
      </c>
      <c r="C293" s="33" t="inlineStr">
        <is>
          <t>Grow Your Career In The Water Sector - Expression of Interest</t>
        </is>
      </c>
      <c r="D293" s="33" t="inlineStr">
        <is>
          <t>AECOM</t>
        </is>
      </c>
      <c r="E293" s="33" t="inlineStr">
        <is>
          <t>London, UK</t>
        </is>
      </c>
      <c r="F293" s="33" t="inlineStr">
        <is>
          <t>£46,865 – £46,865</t>
        </is>
      </c>
      <c r="G293" s="33" t="inlineStr">
        <is>
          <t>Adzuna UK</t>
        </is>
      </c>
      <c r="H293" s="29" t="inlineStr">
        <is>
          <t>CONFIRMED</t>
        </is>
      </c>
      <c r="I293" s="33" t="n">
        <v>55</v>
      </c>
      <c r="J293" s="34" t="inlineStr">
        <is>
          <t>Apply Here</t>
        </is>
      </c>
      <c r="K293" s="35" t="inlineStr"/>
      <c r="L293" s="35" t="inlineStr"/>
      <c r="M293" s="35" t="inlineStr">
        <is>
          <t>Pending</t>
        </is>
      </c>
      <c r="N293" s="36" t="inlineStr"/>
      <c r="O293" s="35" t="inlineStr"/>
    </row>
    <row r="294" ht="16" customHeight="1">
      <c r="A294" s="28" t="inlineStr">
        <is>
          <t>a033c430788b</t>
        </is>
      </c>
      <c r="B294" s="28" t="inlineStr">
        <is>
          <t>22/02/2026</t>
        </is>
      </c>
      <c r="C294" s="28" t="inlineStr">
        <is>
          <t>Grow Your Career In The Water Sector - Expression of Interest</t>
        </is>
      </c>
      <c r="D294" s="28" t="inlineStr">
        <is>
          <t>AECOM</t>
        </is>
      </c>
      <c r="E294" s="28" t="inlineStr">
        <is>
          <t>Croydon, London</t>
        </is>
      </c>
      <c r="F294" s="28" t="inlineStr">
        <is>
          <t>£44,821 – £44,821</t>
        </is>
      </c>
      <c r="G294" s="28" t="inlineStr">
        <is>
          <t>Adzuna UK</t>
        </is>
      </c>
      <c r="H294" s="29" t="inlineStr">
        <is>
          <t>CONFIRMED</t>
        </is>
      </c>
      <c r="I294" s="28" t="n">
        <v>55</v>
      </c>
      <c r="J294" s="30" t="inlineStr">
        <is>
          <t>Apply Here</t>
        </is>
      </c>
      <c r="K294" s="31" t="inlineStr"/>
      <c r="L294" s="31" t="inlineStr"/>
      <c r="M294" s="31" t="inlineStr">
        <is>
          <t>Pending</t>
        </is>
      </c>
      <c r="N294" s="32" t="inlineStr"/>
      <c r="O294" s="31" t="inlineStr"/>
    </row>
    <row r="295" ht="16" customHeight="1">
      <c r="A295" s="33" t="inlineStr">
        <is>
          <t>23a8608415cc</t>
        </is>
      </c>
      <c r="B295" s="33" t="inlineStr">
        <is>
          <t>22/02/2026</t>
        </is>
      </c>
      <c r="C295" s="33" t="inlineStr">
        <is>
          <t>Water &amp; Wastewater Sales Engineer - South UK Infrastructure</t>
        </is>
      </c>
      <c r="D295" s="33" t="inlineStr">
        <is>
          <t>Victaulic</t>
        </is>
      </c>
      <c r="E295" s="33" t="inlineStr">
        <is>
          <t>London, UK</t>
        </is>
      </c>
      <c r="F295" s="33" t="inlineStr">
        <is>
          <t>£51,376 – £51,376</t>
        </is>
      </c>
      <c r="G295" s="33" t="inlineStr">
        <is>
          <t>Adzuna UK</t>
        </is>
      </c>
      <c r="H295" s="29" t="inlineStr">
        <is>
          <t>CONFIRMED</t>
        </is>
      </c>
      <c r="I295" s="33" t="n">
        <v>55</v>
      </c>
      <c r="J295" s="34" t="inlineStr">
        <is>
          <t>Apply Here</t>
        </is>
      </c>
      <c r="K295" s="35" t="inlineStr"/>
      <c r="L295" s="35" t="inlineStr"/>
      <c r="M295" s="35" t="inlineStr">
        <is>
          <t>Pending</t>
        </is>
      </c>
      <c r="N295" s="36" t="inlineStr"/>
      <c r="O295" s="35" t="inlineStr"/>
    </row>
    <row r="296" ht="16" customHeight="1">
      <c r="A296" s="28" t="inlineStr">
        <is>
          <t>cab406157539</t>
        </is>
      </c>
      <c r="B296" s="28" t="inlineStr">
        <is>
          <t>22/02/2026</t>
        </is>
      </c>
      <c r="C296" s="28" t="inlineStr">
        <is>
          <t>Senior Civil Engineer</t>
        </is>
      </c>
      <c r="D296" s="28" t="inlineStr">
        <is>
          <t>Mott MacDonald</t>
        </is>
      </c>
      <c r="E296" s="28" t="inlineStr">
        <is>
          <t>London, UK</t>
        </is>
      </c>
      <c r="F296" s="28" t="inlineStr">
        <is>
          <t>£51,904 – £51,904</t>
        </is>
      </c>
      <c r="G296" s="28" t="inlineStr">
        <is>
          <t>Adzuna UK</t>
        </is>
      </c>
      <c r="H296" s="29" t="inlineStr">
        <is>
          <t>CONFIRMED</t>
        </is>
      </c>
      <c r="I296" s="28" t="n">
        <v>50</v>
      </c>
      <c r="J296" s="30" t="inlineStr">
        <is>
          <t>Apply Here</t>
        </is>
      </c>
      <c r="K296" s="31" t="inlineStr"/>
      <c r="L296" s="31" t="inlineStr"/>
      <c r="M296" s="31" t="inlineStr">
        <is>
          <t>Pending</t>
        </is>
      </c>
      <c r="N296" s="32" t="inlineStr"/>
      <c r="O296" s="31" t="inlineStr"/>
    </row>
    <row r="297" ht="16" customHeight="1">
      <c r="A297" s="33" t="inlineStr">
        <is>
          <t>dacce35cb278</t>
        </is>
      </c>
      <c r="B297" s="33" t="inlineStr">
        <is>
          <t>22/02/2026</t>
        </is>
      </c>
      <c r="C297" s="33" t="inlineStr">
        <is>
          <t>Civil Engineer Project Leader</t>
        </is>
      </c>
      <c r="D297" s="33" t="inlineStr">
        <is>
          <t>Mott MacDonald</t>
        </is>
      </c>
      <c r="E297" s="33" t="inlineStr">
        <is>
          <t>Caversham, Reading</t>
        </is>
      </c>
      <c r="F297" s="33" t="inlineStr">
        <is>
          <t>£48,165 – £48,165</t>
        </is>
      </c>
      <c r="G297" s="33" t="inlineStr">
        <is>
          <t>Adzuna UK</t>
        </is>
      </c>
      <c r="H297" s="29" t="inlineStr">
        <is>
          <t>CONFIRMED</t>
        </is>
      </c>
      <c r="I297" s="33" t="n">
        <v>50</v>
      </c>
      <c r="J297" s="34" t="inlineStr">
        <is>
          <t>Apply Here</t>
        </is>
      </c>
      <c r="K297" s="35" t="inlineStr"/>
      <c r="L297" s="35" t="inlineStr"/>
      <c r="M297" s="35" t="inlineStr">
        <is>
          <t>Pending</t>
        </is>
      </c>
      <c r="N297" s="36" t="inlineStr"/>
      <c r="O297" s="35" t="inlineStr"/>
    </row>
    <row r="298" ht="16" customHeight="1">
      <c r="A298" s="28" t="inlineStr">
        <is>
          <t>6cbe22bb2262</t>
        </is>
      </c>
      <c r="B298" s="28" t="inlineStr">
        <is>
          <t>22/02/2026</t>
        </is>
      </c>
      <c r="C298" s="28" t="inlineStr">
        <is>
          <t>Civil Engineer (Hybrid)</t>
        </is>
      </c>
      <c r="D298" s="28" t="inlineStr">
        <is>
          <t>Ernest Gordon Recruitment</t>
        </is>
      </c>
      <c r="E298" s="28" t="inlineStr">
        <is>
          <t>Slough, Berkshire</t>
        </is>
      </c>
      <c r="F298" s="28" t="inlineStr">
        <is>
          <t>£55,000 – £55,000</t>
        </is>
      </c>
      <c r="G298" s="28" t="inlineStr">
        <is>
          <t>Adzuna UK</t>
        </is>
      </c>
      <c r="H298" s="29" t="inlineStr">
        <is>
          <t>CONFIRMED</t>
        </is>
      </c>
      <c r="I298" s="28" t="n">
        <v>50</v>
      </c>
      <c r="J298" s="30" t="inlineStr">
        <is>
          <t>Apply Here</t>
        </is>
      </c>
      <c r="K298" s="31" t="inlineStr"/>
      <c r="L298" s="31" t="inlineStr"/>
      <c r="M298" s="31" t="inlineStr">
        <is>
          <t>Pending</t>
        </is>
      </c>
      <c r="N298" s="32" t="inlineStr"/>
      <c r="O298" s="31" t="inlineStr"/>
    </row>
    <row r="299" ht="16" customHeight="1">
      <c r="A299" s="33" t="inlineStr">
        <is>
          <t>12b2c254203c</t>
        </is>
      </c>
      <c r="B299" s="33" t="inlineStr">
        <is>
          <t>22/02/2026</t>
        </is>
      </c>
      <c r="C299" s="33" t="inlineStr">
        <is>
          <t>Civil Engineer Hybrid</t>
        </is>
      </c>
      <c r="D299" s="33" t="inlineStr">
        <is>
          <t>Ernest Gordon Recruitment Limited</t>
        </is>
      </c>
      <c r="E299" s="33" t="inlineStr">
        <is>
          <t>Slough, Berkshire</t>
        </is>
      </c>
      <c r="F299" s="33" t="inlineStr">
        <is>
          <t>£45,000 – £55,000</t>
        </is>
      </c>
      <c r="G299" s="33" t="inlineStr">
        <is>
          <t>Adzuna UK</t>
        </is>
      </c>
      <c r="H299" s="29" t="inlineStr">
        <is>
          <t>CONFIRMED</t>
        </is>
      </c>
      <c r="I299" s="33" t="n">
        <v>50</v>
      </c>
      <c r="J299" s="34" t="inlineStr">
        <is>
          <t>Apply Here</t>
        </is>
      </c>
      <c r="K299" s="35" t="inlineStr"/>
      <c r="L299" s="35" t="inlineStr"/>
      <c r="M299" s="35" t="inlineStr">
        <is>
          <t>Pending</t>
        </is>
      </c>
      <c r="N299" s="36" t="inlineStr"/>
      <c r="O299" s="35" t="inlineStr"/>
    </row>
    <row r="300" ht="16" customHeight="1">
      <c r="A300" s="28" t="inlineStr">
        <is>
          <t>d7de94d41567</t>
        </is>
      </c>
      <c r="B300" s="28" t="inlineStr">
        <is>
          <t>22/02/2026</t>
        </is>
      </c>
      <c r="C300" s="28" t="inlineStr">
        <is>
          <t>Civil Engineer (Water industry)</t>
        </is>
      </c>
      <c r="D300" s="28" t="inlineStr">
        <is>
          <t>Ernest Gordon Recruitment</t>
        </is>
      </c>
      <c r="E300" s="28" t="inlineStr">
        <is>
          <t>Slough, Berkshire</t>
        </is>
      </c>
      <c r="F300" s="28" t="inlineStr">
        <is>
          <t>£55,000 – £55,000</t>
        </is>
      </c>
      <c r="G300" s="28" t="inlineStr">
        <is>
          <t>Adzuna UK</t>
        </is>
      </c>
      <c r="H300" s="29" t="inlineStr">
        <is>
          <t>CONFIRMED</t>
        </is>
      </c>
      <c r="I300" s="28" t="n">
        <v>50</v>
      </c>
      <c r="J300" s="30" t="inlineStr">
        <is>
          <t>Apply Here</t>
        </is>
      </c>
      <c r="K300" s="31" t="inlineStr"/>
      <c r="L300" s="31" t="inlineStr"/>
      <c r="M300" s="31" t="inlineStr">
        <is>
          <t>Pending</t>
        </is>
      </c>
      <c r="N300" s="32" t="inlineStr"/>
      <c r="O300" s="31" t="inlineStr"/>
    </row>
    <row r="301" ht="16" customHeight="1">
      <c r="A301" s="33" t="inlineStr">
        <is>
          <t>22978e1eb40b</t>
        </is>
      </c>
      <c r="B301" s="33" t="inlineStr">
        <is>
          <t>22/02/2026</t>
        </is>
      </c>
      <c r="C301" s="33" t="inlineStr">
        <is>
          <t>Linux Infrastructure Engineer (Automation &amp; Tools) | Large-Scale Distributed Systems | Python, Linux, Automation | London (Hybrid, 3 days) | VP-Level | Total Comp £110-160k+, plus benefits</t>
        </is>
      </c>
      <c r="D301" s="33" t="inlineStr">
        <is>
          <t>Owen Thomas | Pending B Corp™</t>
        </is>
      </c>
      <c r="E301" s="33" t="inlineStr">
        <is>
          <t>London Area, United Kingdom</t>
        </is>
      </c>
      <c r="F301" s="33" t="inlineStr">
        <is>
          <t>Not specified</t>
        </is>
      </c>
      <c r="G301" s="33" t="inlineStr">
        <is>
          <t>LinkedIn</t>
        </is>
      </c>
      <c r="H301" s="29" t="inlineStr">
        <is>
          <t>CONFIRMED</t>
        </is>
      </c>
      <c r="I301" s="33" t="n">
        <v>50</v>
      </c>
      <c r="J301" s="34" t="inlineStr">
        <is>
          <t>Apply Here</t>
        </is>
      </c>
      <c r="K301" s="35" t="inlineStr"/>
      <c r="L301" s="35" t="inlineStr"/>
      <c r="M301" s="35" t="inlineStr">
        <is>
          <t>Pending</t>
        </is>
      </c>
      <c r="N301" s="36" t="inlineStr"/>
      <c r="O301" s="35" t="inlineStr"/>
    </row>
    <row r="302" ht="16" customHeight="1">
      <c r="A302" s="28" t="inlineStr">
        <is>
          <t>469e84536f11</t>
        </is>
      </c>
      <c r="B302" s="28" t="inlineStr">
        <is>
          <t>22/02/2026</t>
        </is>
      </c>
      <c r="C302" s="28" t="inlineStr">
        <is>
          <t>Infrastructure Deployment Engineer</t>
        </is>
      </c>
      <c r="D302" s="28" t="inlineStr">
        <is>
          <t>Cloudflare</t>
        </is>
      </c>
      <c r="E302" s="28" t="inlineStr">
        <is>
          <t>Greater London, England, United Kingdom</t>
        </is>
      </c>
      <c r="F302" s="28" t="inlineStr">
        <is>
          <t>Not specified</t>
        </is>
      </c>
      <c r="G302" s="28" t="inlineStr">
        <is>
          <t>LinkedIn</t>
        </is>
      </c>
      <c r="H302" s="29" t="inlineStr">
        <is>
          <t>CONFIRMED</t>
        </is>
      </c>
      <c r="I302" s="28" t="n">
        <v>50</v>
      </c>
      <c r="J302" s="30" t="inlineStr">
        <is>
          <t>Apply Here</t>
        </is>
      </c>
      <c r="K302" s="31" t="inlineStr"/>
      <c r="L302" s="31" t="inlineStr"/>
      <c r="M302" s="31" t="inlineStr">
        <is>
          <t>Pending</t>
        </is>
      </c>
      <c r="N302" s="32" t="inlineStr"/>
      <c r="O302" s="31" t="inlineStr"/>
    </row>
    <row r="303" ht="16" customHeight="1">
      <c r="A303" s="33" t="inlineStr">
        <is>
          <t>7e3e4e44a708</t>
        </is>
      </c>
      <c r="B303" s="33" t="inlineStr">
        <is>
          <t>22/02/2026</t>
        </is>
      </c>
      <c r="C303" s="33" t="inlineStr">
        <is>
          <t>Stairlift Engineer</t>
        </is>
      </c>
      <c r="D303" s="33" t="inlineStr">
        <is>
          <t>Stannah Group</t>
        </is>
      </c>
      <c r="E303" s="33" t="inlineStr">
        <is>
          <t>Worthing, England, United Kingdom</t>
        </is>
      </c>
      <c r="F303" s="33" t="inlineStr">
        <is>
          <t>Not specified</t>
        </is>
      </c>
      <c r="G303" s="33" t="inlineStr">
        <is>
          <t>LinkedIn</t>
        </is>
      </c>
      <c r="H303" s="29" t="inlineStr">
        <is>
          <t>CONFIRMED</t>
        </is>
      </c>
      <c r="I303" s="33" t="n">
        <v>45</v>
      </c>
      <c r="J303" s="34" t="inlineStr">
        <is>
          <t>Apply Here</t>
        </is>
      </c>
      <c r="K303" s="35" t="inlineStr"/>
      <c r="L303" s="35" t="inlineStr"/>
      <c r="M303" s="35" t="inlineStr">
        <is>
          <t>Pending</t>
        </is>
      </c>
      <c r="N303" s="36" t="inlineStr"/>
      <c r="O303" s="35" t="inlineStr"/>
    </row>
    <row r="304" ht="16" customHeight="1">
      <c r="A304" s="28" t="inlineStr">
        <is>
          <t>a012b076de10</t>
        </is>
      </c>
      <c r="B304" s="28" t="inlineStr">
        <is>
          <t>22/02/2026</t>
        </is>
      </c>
      <c r="C304" s="28" t="inlineStr">
        <is>
          <t>Graduate Engineer</t>
        </is>
      </c>
      <c r="D304" s="28" t="inlineStr">
        <is>
          <t>Metrology Engineering Services [MES]</t>
        </is>
      </c>
      <c r="E304" s="28" t="inlineStr">
        <is>
          <t>Newport, Wales, United Kingdom</t>
        </is>
      </c>
      <c r="F304" s="28" t="inlineStr">
        <is>
          <t>Not specified</t>
        </is>
      </c>
      <c r="G304" s="28" t="inlineStr">
        <is>
          <t>LinkedIn</t>
        </is>
      </c>
      <c r="H304" s="29" t="inlineStr">
        <is>
          <t>CONFIRMED</t>
        </is>
      </c>
      <c r="I304" s="28" t="n">
        <v>45</v>
      </c>
      <c r="J304" s="30" t="inlineStr">
        <is>
          <t>Apply Here</t>
        </is>
      </c>
      <c r="K304" s="31" t="inlineStr"/>
      <c r="L304" s="31" t="inlineStr"/>
      <c r="M304" s="31" t="inlineStr">
        <is>
          <t>Pending</t>
        </is>
      </c>
      <c r="N304" s="32" t="inlineStr"/>
      <c r="O304" s="31" t="inlineStr"/>
    </row>
    <row r="305" ht="16" customHeight="1">
      <c r="A305" s="33" t="inlineStr">
        <is>
          <t>7bdc7af7f828</t>
        </is>
      </c>
      <c r="B305" s="33" t="inlineStr">
        <is>
          <t>22/02/2026</t>
        </is>
      </c>
      <c r="C305" s="33" t="inlineStr">
        <is>
          <t>Escalator Engineer (Nights)</t>
        </is>
      </c>
      <c r="D305" s="33" t="inlineStr">
        <is>
          <t>Stannah Group</t>
        </is>
      </c>
      <c r="E305" s="33" t="inlineStr">
        <is>
          <t>London, England, United Kingdom</t>
        </is>
      </c>
      <c r="F305" s="33" t="inlineStr">
        <is>
          <t>Not specified</t>
        </is>
      </c>
      <c r="G305" s="33" t="inlineStr">
        <is>
          <t>LinkedIn</t>
        </is>
      </c>
      <c r="H305" s="29" t="inlineStr">
        <is>
          <t>CONFIRMED</t>
        </is>
      </c>
      <c r="I305" s="33" t="n">
        <v>45</v>
      </c>
      <c r="J305" s="34" t="inlineStr">
        <is>
          <t>Apply Here</t>
        </is>
      </c>
      <c r="K305" s="35" t="inlineStr"/>
      <c r="L305" s="35" t="inlineStr"/>
      <c r="M305" s="35" t="inlineStr">
        <is>
          <t>Pending</t>
        </is>
      </c>
      <c r="N305" s="36" t="inlineStr"/>
      <c r="O305" s="35" t="inlineStr"/>
    </row>
    <row r="306" ht="16" customHeight="1">
      <c r="A306" s="28" t="inlineStr">
        <is>
          <t>5647466123a7</t>
        </is>
      </c>
      <c r="B306" s="28" t="inlineStr">
        <is>
          <t>22/02/2026</t>
        </is>
      </c>
      <c r="C306" s="28" t="inlineStr">
        <is>
          <t>Composite Designer</t>
        </is>
      </c>
      <c r="D306" s="28" t="inlineStr">
        <is>
          <t>Cadillac Formula 1® Team</t>
        </is>
      </c>
      <c r="E306" s="28" t="inlineStr">
        <is>
          <t>Silverstone, England, United Kingdom</t>
        </is>
      </c>
      <c r="F306" s="28" t="inlineStr">
        <is>
          <t>Not specified</t>
        </is>
      </c>
      <c r="G306" s="28" t="inlineStr">
        <is>
          <t>LinkedIn</t>
        </is>
      </c>
      <c r="H306" s="29" t="inlineStr">
        <is>
          <t>CONFIRMED</t>
        </is>
      </c>
      <c r="I306" s="28" t="n">
        <v>45</v>
      </c>
      <c r="J306" s="30" t="inlineStr">
        <is>
          <t>Apply Here</t>
        </is>
      </c>
      <c r="K306" s="31" t="inlineStr"/>
      <c r="L306" s="31" t="inlineStr"/>
      <c r="M306" s="31" t="inlineStr">
        <is>
          <t>Pending</t>
        </is>
      </c>
      <c r="N306" s="32" t="inlineStr"/>
      <c r="O306" s="31" t="inlineStr"/>
    </row>
    <row r="307" ht="16" customHeight="1">
      <c r="A307" s="33" t="inlineStr">
        <is>
          <t>d43dfada7e7b</t>
        </is>
      </c>
      <c r="B307" s="33" t="inlineStr">
        <is>
          <t>22/02/2026</t>
        </is>
      </c>
      <c r="C307" s="33" t="inlineStr">
        <is>
          <t>Design Engineer</t>
        </is>
      </c>
      <c r="D307" s="33" t="inlineStr">
        <is>
          <t>Multiverse</t>
        </is>
      </c>
      <c r="E307" s="33" t="inlineStr">
        <is>
          <t>London, England, United Kingdom</t>
        </is>
      </c>
      <c r="F307" s="33" t="inlineStr">
        <is>
          <t>Not specified</t>
        </is>
      </c>
      <c r="G307" s="33" t="inlineStr">
        <is>
          <t>LinkedIn</t>
        </is>
      </c>
      <c r="H307" s="29" t="inlineStr">
        <is>
          <t>CONFIRMED</t>
        </is>
      </c>
      <c r="I307" s="33" t="n">
        <v>45</v>
      </c>
      <c r="J307" s="34" t="inlineStr">
        <is>
          <t>Apply Here</t>
        </is>
      </c>
      <c r="K307" s="35" t="inlineStr"/>
      <c r="L307" s="35" t="inlineStr"/>
      <c r="M307" s="35" t="inlineStr">
        <is>
          <t>Pending</t>
        </is>
      </c>
      <c r="N307" s="36" t="inlineStr"/>
      <c r="O307" s="35" t="inlineStr"/>
    </row>
    <row r="308" ht="16" customHeight="1">
      <c r="A308" s="28" t="inlineStr">
        <is>
          <t>0c44c2386ae8</t>
        </is>
      </c>
      <c r="B308" s="28" t="inlineStr">
        <is>
          <t>22/02/2026</t>
        </is>
      </c>
      <c r="C308" s="28" t="inlineStr">
        <is>
          <t>Australian Based Dams / Reservoir Engineering Opportunities (Relocation assistance provided)</t>
        </is>
      </c>
      <c r="D308" s="28" t="inlineStr">
        <is>
          <t>AECOM</t>
        </is>
      </c>
      <c r="E308" s="28" t="inlineStr">
        <is>
          <t>Cardiff, Wales, United Kingdom</t>
        </is>
      </c>
      <c r="F308" s="28" t="inlineStr">
        <is>
          <t>Not specified</t>
        </is>
      </c>
      <c r="G308" s="28" t="inlineStr">
        <is>
          <t>LinkedIn</t>
        </is>
      </c>
      <c r="H308" s="29" t="inlineStr">
        <is>
          <t>CONFIRMED</t>
        </is>
      </c>
      <c r="I308" s="28" t="n">
        <v>45</v>
      </c>
      <c r="J308" s="30" t="inlineStr">
        <is>
          <t>Apply Here</t>
        </is>
      </c>
      <c r="K308" s="31" t="inlineStr"/>
      <c r="L308" s="31" t="inlineStr"/>
      <c r="M308" s="31" t="inlineStr">
        <is>
          <t>Pending</t>
        </is>
      </c>
      <c r="N308" s="32" t="inlineStr"/>
      <c r="O308" s="31" t="inlineStr"/>
    </row>
    <row r="309" ht="16" customHeight="1">
      <c r="A309" s="33" t="inlineStr">
        <is>
          <t>3c3cdf59f9f3</t>
        </is>
      </c>
      <c r="B309" s="33" t="inlineStr">
        <is>
          <t>22/02/2026</t>
        </is>
      </c>
      <c r="C309" s="33" t="inlineStr">
        <is>
          <t>Senior Engineer</t>
        </is>
      </c>
      <c r="D309" s="33" t="inlineStr">
        <is>
          <t>John Sisk &amp; Son Ltd</t>
        </is>
      </c>
      <c r="E309" s="33" t="inlineStr">
        <is>
          <t>London, England, United Kingdom</t>
        </is>
      </c>
      <c r="F309" s="33" t="inlineStr">
        <is>
          <t>Not specified</t>
        </is>
      </c>
      <c r="G309" s="33" t="inlineStr">
        <is>
          <t>LinkedIn</t>
        </is>
      </c>
      <c r="H309" s="29" t="inlineStr">
        <is>
          <t>CONFIRMED</t>
        </is>
      </c>
      <c r="I309" s="33" t="n">
        <v>45</v>
      </c>
      <c r="J309" s="34" t="inlineStr">
        <is>
          <t>Apply Here</t>
        </is>
      </c>
      <c r="K309" s="35" t="inlineStr"/>
      <c r="L309" s="35" t="inlineStr"/>
      <c r="M309" s="35" t="inlineStr">
        <is>
          <t>Pending</t>
        </is>
      </c>
      <c r="N309" s="36" t="inlineStr"/>
      <c r="O309" s="35" t="inlineStr"/>
    </row>
    <row r="310" ht="16" customHeight="1">
      <c r="A310" s="28" t="inlineStr">
        <is>
          <t>f2fdf95c9ccf</t>
        </is>
      </c>
      <c r="B310" s="28" t="inlineStr">
        <is>
          <t>22/02/2026</t>
        </is>
      </c>
      <c r="C310" s="28" t="inlineStr">
        <is>
          <t>Security Systems CCTV Engineer</t>
        </is>
      </c>
      <c r="D310" s="28" t="inlineStr">
        <is>
          <t>Momentum Security Recruitment</t>
        </is>
      </c>
      <c r="E310" s="28" t="inlineStr">
        <is>
          <t>Maidstone, England, United Kingdom</t>
        </is>
      </c>
      <c r="F310" s="28" t="inlineStr">
        <is>
          <t>Not specified</t>
        </is>
      </c>
      <c r="G310" s="28" t="inlineStr">
        <is>
          <t>LinkedIn</t>
        </is>
      </c>
      <c r="H310" s="29" t="inlineStr">
        <is>
          <t>CONFIRMED</t>
        </is>
      </c>
      <c r="I310" s="28" t="n">
        <v>45</v>
      </c>
      <c r="J310" s="30" t="inlineStr">
        <is>
          <t>Apply Here</t>
        </is>
      </c>
      <c r="K310" s="31" t="inlineStr"/>
      <c r="L310" s="31" t="inlineStr"/>
      <c r="M310" s="31" t="inlineStr">
        <is>
          <t>Pending</t>
        </is>
      </c>
      <c r="N310" s="32" t="inlineStr"/>
      <c r="O310" s="31" t="inlineStr"/>
    </row>
    <row r="311" ht="16" customHeight="1">
      <c r="A311" s="33" t="inlineStr">
        <is>
          <t>e108972fc0ed</t>
        </is>
      </c>
      <c r="B311" s="33" t="inlineStr">
        <is>
          <t>22/02/2026</t>
        </is>
      </c>
      <c r="C311" s="33" t="inlineStr">
        <is>
          <t>Network Engineer V</t>
        </is>
      </c>
      <c r="D311" s="33" t="inlineStr">
        <is>
          <t>Keystone Recruitment</t>
        </is>
      </c>
      <c r="E311" s="33" t="inlineStr">
        <is>
          <t>United Kingdom</t>
        </is>
      </c>
      <c r="F311" s="33" t="inlineStr">
        <is>
          <t>Not specified</t>
        </is>
      </c>
      <c r="G311" s="33" t="inlineStr">
        <is>
          <t>LinkedIn</t>
        </is>
      </c>
      <c r="H311" s="29" t="inlineStr">
        <is>
          <t>CONFIRMED</t>
        </is>
      </c>
      <c r="I311" s="33" t="n">
        <v>45</v>
      </c>
      <c r="J311" s="34" t="inlineStr">
        <is>
          <t>Apply Here</t>
        </is>
      </c>
      <c r="K311" s="35" t="inlineStr"/>
      <c r="L311" s="35" t="inlineStr"/>
      <c r="M311" s="35" t="inlineStr">
        <is>
          <t>Pending</t>
        </is>
      </c>
      <c r="N311" s="36" t="inlineStr"/>
      <c r="O311" s="35" t="inlineStr"/>
    </row>
    <row r="312" ht="16" customHeight="1">
      <c r="A312" s="28" t="inlineStr">
        <is>
          <t>843e73e1f904</t>
        </is>
      </c>
      <c r="B312" s="28" t="inlineStr">
        <is>
          <t>22/02/2026</t>
        </is>
      </c>
      <c r="C312" s="28" t="inlineStr">
        <is>
          <t>Network Engineer x 2 (111254-0126)</t>
        </is>
      </c>
      <c r="D312" s="28" t="inlineStr">
        <is>
          <t>University of Warwick</t>
        </is>
      </c>
      <c r="E312" s="28" t="inlineStr">
        <is>
          <t>Coventry, England, United Kingdom</t>
        </is>
      </c>
      <c r="F312" s="28" t="inlineStr">
        <is>
          <t>Not specified</t>
        </is>
      </c>
      <c r="G312" s="28" t="inlineStr">
        <is>
          <t>LinkedIn</t>
        </is>
      </c>
      <c r="H312" s="29" t="inlineStr">
        <is>
          <t>CONFIRMED</t>
        </is>
      </c>
      <c r="I312" s="28" t="n">
        <v>45</v>
      </c>
      <c r="J312" s="30" t="inlineStr">
        <is>
          <t>Apply Here</t>
        </is>
      </c>
      <c r="K312" s="31" t="inlineStr"/>
      <c r="L312" s="31" t="inlineStr"/>
      <c r="M312" s="31" t="inlineStr">
        <is>
          <t>Pending</t>
        </is>
      </c>
      <c r="N312" s="32" t="inlineStr"/>
      <c r="O312" s="31" t="inlineStr"/>
    </row>
    <row r="313" ht="16" customHeight="1">
      <c r="A313" s="33" t="inlineStr">
        <is>
          <t>961d7f95d534</t>
        </is>
      </c>
      <c r="B313" s="33" t="inlineStr">
        <is>
          <t>22/02/2026</t>
        </is>
      </c>
      <c r="C313" s="33" t="inlineStr">
        <is>
          <t>Senior Cloud Network Engineer - Terraform &amp; Zscaler (FinTech) - £90k</t>
        </is>
      </c>
      <c r="D313" s="33" t="inlineStr">
        <is>
          <t>Hawksworth</t>
        </is>
      </c>
      <c r="E313" s="33" t="inlineStr">
        <is>
          <t>London Area, United Kingdom</t>
        </is>
      </c>
      <c r="F313" s="33" t="inlineStr">
        <is>
          <t>Not specified</t>
        </is>
      </c>
      <c r="G313" s="33" t="inlineStr">
        <is>
          <t>LinkedIn</t>
        </is>
      </c>
      <c r="H313" s="29" t="inlineStr">
        <is>
          <t>CONFIRMED</t>
        </is>
      </c>
      <c r="I313" s="33" t="n">
        <v>45</v>
      </c>
      <c r="J313" s="34" t="inlineStr">
        <is>
          <t>Apply Here</t>
        </is>
      </c>
      <c r="K313" s="35" t="inlineStr"/>
      <c r="L313" s="35" t="inlineStr"/>
      <c r="M313" s="35" t="inlineStr">
        <is>
          <t>Pending</t>
        </is>
      </c>
      <c r="N313" s="36" t="inlineStr"/>
      <c r="O313" s="35" t="inlineStr"/>
    </row>
    <row r="314" ht="16" customHeight="1">
      <c r="A314" s="28" t="inlineStr">
        <is>
          <t>6f6700168a6f</t>
        </is>
      </c>
      <c r="B314" s="28" t="inlineStr">
        <is>
          <t>22/02/2026</t>
        </is>
      </c>
      <c r="C314" s="28" t="inlineStr">
        <is>
          <t>Senior Network Engineer</t>
        </is>
      </c>
      <c r="D314" s="28" t="inlineStr">
        <is>
          <t>hackajob</t>
        </is>
      </c>
      <c r="E314" s="28" t="inlineStr">
        <is>
          <t>Erskine, Scotland, United Kingdom</t>
        </is>
      </c>
      <c r="F314" s="28" t="inlineStr">
        <is>
          <t>Not specified</t>
        </is>
      </c>
      <c r="G314" s="28" t="inlineStr">
        <is>
          <t>LinkedIn</t>
        </is>
      </c>
      <c r="H314" s="29" t="inlineStr">
        <is>
          <t>CONFIRMED</t>
        </is>
      </c>
      <c r="I314" s="28" t="n">
        <v>45</v>
      </c>
      <c r="J314" s="30" t="inlineStr">
        <is>
          <t>Apply Here</t>
        </is>
      </c>
      <c r="K314" s="31" t="inlineStr"/>
      <c r="L314" s="31" t="inlineStr"/>
      <c r="M314" s="31" t="inlineStr">
        <is>
          <t>Pending</t>
        </is>
      </c>
      <c r="N314" s="32" t="inlineStr"/>
      <c r="O314" s="31" t="inlineStr"/>
    </row>
    <row r="315" ht="16" customHeight="1">
      <c r="A315" s="33" t="inlineStr">
        <is>
          <t>e8e7e5701157</t>
        </is>
      </c>
      <c r="B315" s="33" t="inlineStr">
        <is>
          <t>22/02/2026</t>
        </is>
      </c>
      <c r="C315" s="33" t="inlineStr">
        <is>
          <t>System Engineer (MBSE)</t>
        </is>
      </c>
      <c r="D315" s="33" t="inlineStr">
        <is>
          <t>Apollo Fire Detectors</t>
        </is>
      </c>
      <c r="E315" s="33" t="inlineStr">
        <is>
          <t>Havant, England, United Kingdom</t>
        </is>
      </c>
      <c r="F315" s="33" t="inlineStr">
        <is>
          <t>Not specified</t>
        </is>
      </c>
      <c r="G315" s="33" t="inlineStr">
        <is>
          <t>LinkedIn</t>
        </is>
      </c>
      <c r="H315" s="29" t="inlineStr">
        <is>
          <t>CONFIRMED</t>
        </is>
      </c>
      <c r="I315" s="33" t="n">
        <v>45</v>
      </c>
      <c r="J315" s="34" t="inlineStr">
        <is>
          <t>Apply Here</t>
        </is>
      </c>
      <c r="K315" s="35" t="inlineStr"/>
      <c r="L315" s="35" t="inlineStr"/>
      <c r="M315" s="35" t="inlineStr">
        <is>
          <t>Pending</t>
        </is>
      </c>
      <c r="N315" s="36" t="inlineStr"/>
      <c r="O315" s="35" t="inlineStr"/>
    </row>
    <row r="316" ht="16" customHeight="1">
      <c r="A316" s="28" t="inlineStr">
        <is>
          <t>0d15005ddfd0</t>
        </is>
      </c>
      <c r="B316" s="28" t="inlineStr">
        <is>
          <t>22/02/2026</t>
        </is>
      </c>
      <c r="C316" s="28" t="inlineStr">
        <is>
          <t>Systems Engineer - Contractor</t>
        </is>
      </c>
      <c r="D316" s="28" t="inlineStr">
        <is>
          <t>ESCO Maritime Solutions</t>
        </is>
      </c>
      <c r="E316" s="28" t="inlineStr">
        <is>
          <t>Rugeley, England, United Kingdom</t>
        </is>
      </c>
      <c r="F316" s="28" t="inlineStr">
        <is>
          <t>Not specified</t>
        </is>
      </c>
      <c r="G316" s="28" t="inlineStr">
        <is>
          <t>LinkedIn</t>
        </is>
      </c>
      <c r="H316" s="29" t="inlineStr">
        <is>
          <t>CONFIRMED</t>
        </is>
      </c>
      <c r="I316" s="28" t="n">
        <v>45</v>
      </c>
      <c r="J316" s="30" t="inlineStr">
        <is>
          <t>Apply Here</t>
        </is>
      </c>
      <c r="K316" s="31" t="inlineStr"/>
      <c r="L316" s="31" t="inlineStr"/>
      <c r="M316" s="31" t="inlineStr">
        <is>
          <t>Pending</t>
        </is>
      </c>
      <c r="N316" s="32" t="inlineStr"/>
      <c r="O316" s="31" t="inlineStr"/>
    </row>
    <row r="317" ht="16" customHeight="1">
      <c r="A317" s="33" t="inlineStr">
        <is>
          <t>7a2efcde0bd1</t>
        </is>
      </c>
      <c r="B317" s="33" t="inlineStr">
        <is>
          <t>22/02/2026</t>
        </is>
      </c>
      <c r="C317" s="33" t="inlineStr">
        <is>
          <t>Senior Associate</t>
        </is>
      </c>
      <c r="D317" s="33" t="inlineStr">
        <is>
          <t>Meridian Universal</t>
        </is>
      </c>
      <c r="E317" s="33" t="inlineStr">
        <is>
          <t>City Of London, England, United Kingdom</t>
        </is>
      </c>
      <c r="F317" s="33" t="inlineStr">
        <is>
          <t>Not specified</t>
        </is>
      </c>
      <c r="G317" s="33" t="inlineStr">
        <is>
          <t>LinkedIn</t>
        </is>
      </c>
      <c r="H317" s="29" t="inlineStr">
        <is>
          <t>CONFIRMED</t>
        </is>
      </c>
      <c r="I317" s="33" t="n">
        <v>45</v>
      </c>
      <c r="J317" s="34" t="inlineStr">
        <is>
          <t>Apply Here</t>
        </is>
      </c>
      <c r="K317" s="35" t="inlineStr"/>
      <c r="L317" s="35" t="inlineStr"/>
      <c r="M317" s="35" t="inlineStr">
        <is>
          <t>Pending</t>
        </is>
      </c>
      <c r="N317" s="36" t="inlineStr"/>
      <c r="O317" s="35" t="inlineStr"/>
    </row>
    <row r="318" ht="16" customHeight="1">
      <c r="A318" s="28" t="inlineStr">
        <is>
          <t>d8123ec97abc</t>
        </is>
      </c>
      <c r="B318" s="28" t="inlineStr">
        <is>
          <t>22/02/2026</t>
        </is>
      </c>
      <c r="C318" s="28" t="inlineStr">
        <is>
          <t>Gas Distribution Senior Modeller</t>
        </is>
      </c>
      <c r="D318" s="28" t="inlineStr">
        <is>
          <t>Esyasoft Holding</t>
        </is>
      </c>
      <c r="E318" s="28" t="inlineStr">
        <is>
          <t>London Area, United Kingdom</t>
        </is>
      </c>
      <c r="F318" s="28" t="inlineStr">
        <is>
          <t>Not specified</t>
        </is>
      </c>
      <c r="G318" s="28" t="inlineStr">
        <is>
          <t>LinkedIn</t>
        </is>
      </c>
      <c r="H318" s="29" t="inlineStr">
        <is>
          <t>CONFIRMED</t>
        </is>
      </c>
      <c r="I318" s="28" t="n">
        <v>45</v>
      </c>
      <c r="J318" s="30" t="inlineStr">
        <is>
          <t>Apply Here</t>
        </is>
      </c>
      <c r="K318" s="31" t="inlineStr"/>
      <c r="L318" s="31" t="inlineStr"/>
      <c r="M318" s="31" t="inlineStr">
        <is>
          <t>Pending</t>
        </is>
      </c>
      <c r="N318" s="32" t="inlineStr"/>
      <c r="O318" s="31" t="inlineStr"/>
    </row>
    <row r="319" ht="16" customHeight="1">
      <c r="A319" s="33" t="inlineStr">
        <is>
          <t>86b8cddc9519</t>
        </is>
      </c>
      <c r="B319" s="33" t="inlineStr">
        <is>
          <t>22/02/2026</t>
        </is>
      </c>
      <c r="C319" s="33" t="inlineStr">
        <is>
          <t>Sound Engineer professionals</t>
        </is>
      </c>
      <c r="D319" s="33" t="inlineStr">
        <is>
          <t>BASELINE SOLVING</t>
        </is>
      </c>
      <c r="E319" s="33" t="inlineStr">
        <is>
          <t>Greater London, England, United Kingdom</t>
        </is>
      </c>
      <c r="F319" s="33" t="inlineStr">
        <is>
          <t>Not specified</t>
        </is>
      </c>
      <c r="G319" s="33" t="inlineStr">
        <is>
          <t>LinkedIn</t>
        </is>
      </c>
      <c r="H319" s="29" t="inlineStr">
        <is>
          <t>CONFIRMED</t>
        </is>
      </c>
      <c r="I319" s="33" t="n">
        <v>45</v>
      </c>
      <c r="J319" s="34" t="inlineStr">
        <is>
          <t>Apply Here</t>
        </is>
      </c>
      <c r="K319" s="35" t="inlineStr"/>
      <c r="L319" s="35" t="inlineStr"/>
      <c r="M319" s="35" t="inlineStr">
        <is>
          <t>Pending</t>
        </is>
      </c>
      <c r="N319" s="36" t="inlineStr"/>
      <c r="O319" s="35" t="inlineStr"/>
    </row>
    <row r="320" ht="16" customHeight="1">
      <c r="A320" s="28" t="inlineStr">
        <is>
          <t>458e4cb0d9b0</t>
        </is>
      </c>
      <c r="B320" s="28" t="inlineStr">
        <is>
          <t>25/02/2026</t>
        </is>
      </c>
      <c r="C320" s="28" t="inlineStr">
        <is>
          <t>Civil Engineer (Water industry)</t>
        </is>
      </c>
      <c r="D320" s="28" t="inlineStr">
        <is>
          <t>Ernest Gordon Recruitment</t>
        </is>
      </c>
      <c r="E320" s="28" t="inlineStr">
        <is>
          <t>Slough, Berkshire</t>
        </is>
      </c>
      <c r="F320" s="28" t="inlineStr">
        <is>
          <t>£55,000 – £55,000</t>
        </is>
      </c>
      <c r="G320" s="28" t="inlineStr">
        <is>
          <t>Adzuna UK</t>
        </is>
      </c>
      <c r="H320" s="29" t="inlineStr">
        <is>
          <t>CONFIRMED</t>
        </is>
      </c>
      <c r="I320" s="28" t="n">
        <v>43</v>
      </c>
      <c r="J320" s="30" t="inlineStr">
        <is>
          <t>Apply Here</t>
        </is>
      </c>
      <c r="K320" s="31" t="inlineStr"/>
      <c r="L320" s="31" t="inlineStr"/>
      <c r="M320" s="31" t="inlineStr">
        <is>
          <t>Pending</t>
        </is>
      </c>
      <c r="N320" s="32" t="inlineStr"/>
      <c r="O320" s="31" t="inlineStr"/>
    </row>
    <row r="321" ht="16" customHeight="1">
      <c r="A321" s="33" t="inlineStr">
        <is>
          <t>69cb8c6de3b3</t>
        </is>
      </c>
      <c r="B321" s="33" t="inlineStr">
        <is>
          <t>25/02/2026</t>
        </is>
      </c>
      <c r="C321" s="33" t="inlineStr">
        <is>
          <t>Water Networks Modeller</t>
        </is>
      </c>
      <c r="D321" s="33" t="inlineStr">
        <is>
          <t>Stantec</t>
        </is>
      </c>
      <c r="E321" s="33" t="inlineStr">
        <is>
          <t>High Wycombe, Buckinghamshire</t>
        </is>
      </c>
      <c r="F321" s="33" t="inlineStr">
        <is>
          <t>£45,172 – £45,172</t>
        </is>
      </c>
      <c r="G321" s="33" t="inlineStr">
        <is>
          <t>Adzuna UK</t>
        </is>
      </c>
      <c r="H321" s="29" t="inlineStr">
        <is>
          <t>CONFIRMED</t>
        </is>
      </c>
      <c r="I321" s="33" t="n">
        <v>40</v>
      </c>
      <c r="J321" s="34" t="inlineStr">
        <is>
          <t>Apply Here</t>
        </is>
      </c>
      <c r="K321" s="35" t="inlineStr"/>
      <c r="L321" s="35" t="inlineStr"/>
      <c r="M321" s="35" t="inlineStr">
        <is>
          <t>Pending</t>
        </is>
      </c>
      <c r="N321" s="36" t="inlineStr"/>
      <c r="O321" s="35" t="inlineStr"/>
    </row>
    <row r="322" ht="16" customHeight="1">
      <c r="A322" s="28" t="inlineStr">
        <is>
          <t>057a57f00d82</t>
        </is>
      </c>
      <c r="B322" s="28" t="inlineStr">
        <is>
          <t>25/02/2026</t>
        </is>
      </c>
      <c r="C322" s="28" t="inlineStr">
        <is>
          <t>Water Networks Modeller</t>
        </is>
      </c>
      <c r="D322" s="28" t="inlineStr">
        <is>
          <t>Stantec</t>
        </is>
      </c>
      <c r="E322" s="28" t="inlineStr">
        <is>
          <t>London, UK</t>
        </is>
      </c>
      <c r="F322" s="28" t="inlineStr">
        <is>
          <t>£46,447 – £46,447</t>
        </is>
      </c>
      <c r="G322" s="28" t="inlineStr">
        <is>
          <t>Adzuna UK</t>
        </is>
      </c>
      <c r="H322" s="29" t="inlineStr">
        <is>
          <t>CONFIRMED</t>
        </is>
      </c>
      <c r="I322" s="28" t="n">
        <v>40</v>
      </c>
      <c r="J322" s="30" t="inlineStr">
        <is>
          <t>Apply Here</t>
        </is>
      </c>
      <c r="K322" s="31" t="inlineStr"/>
      <c r="L322" s="31" t="inlineStr"/>
      <c r="M322" s="31" t="inlineStr">
        <is>
          <t>Pending</t>
        </is>
      </c>
      <c r="N322" s="32" t="inlineStr"/>
      <c r="O322" s="31" t="inlineStr"/>
    </row>
    <row r="323" ht="16" customHeight="1">
      <c r="A323" s="33" t="inlineStr">
        <is>
          <t>664c621c2d18</t>
        </is>
      </c>
      <c r="B323" s="33" t="inlineStr">
        <is>
          <t>25/02/2026</t>
        </is>
      </c>
      <c r="C323" s="33" t="inlineStr">
        <is>
          <t>Senior Water Networks Modeller</t>
        </is>
      </c>
      <c r="D323" s="33" t="inlineStr">
        <is>
          <t>Stantec</t>
        </is>
      </c>
      <c r="E323" s="33" t="inlineStr">
        <is>
          <t>High Wycombe, Buckinghamshire</t>
        </is>
      </c>
      <c r="F323" s="33" t="inlineStr">
        <is>
          <t>£49,539 – £49,539</t>
        </is>
      </c>
      <c r="G323" s="33" t="inlineStr">
        <is>
          <t>Adzuna UK</t>
        </is>
      </c>
      <c r="H323" s="29" t="inlineStr">
        <is>
          <t>CONFIRMED</t>
        </is>
      </c>
      <c r="I323" s="33" t="n">
        <v>40</v>
      </c>
      <c r="J323" s="34" t="inlineStr">
        <is>
          <t>Apply Here</t>
        </is>
      </c>
      <c r="K323" s="35" t="inlineStr"/>
      <c r="L323" s="35" t="inlineStr"/>
      <c r="M323" s="35" t="inlineStr">
        <is>
          <t>Pending</t>
        </is>
      </c>
      <c r="N323" s="36" t="inlineStr"/>
      <c r="O323" s="35" t="inlineStr"/>
    </row>
    <row r="324" ht="16" customHeight="1">
      <c r="A324" s="28" t="inlineStr">
        <is>
          <t>a0a843314e26</t>
        </is>
      </c>
      <c r="B324" s="28" t="inlineStr">
        <is>
          <t>25/02/2026</t>
        </is>
      </c>
      <c r="C324" s="28" t="inlineStr">
        <is>
          <t>Senior Water Networks Modeller</t>
        </is>
      </c>
      <c r="D324" s="28" t="inlineStr">
        <is>
          <t>Stantec</t>
        </is>
      </c>
      <c r="E324" s="28" t="inlineStr">
        <is>
          <t>Reading, Berkshire</t>
        </is>
      </c>
      <c r="F324" s="28" t="inlineStr">
        <is>
          <t>£49,785 – £49,785</t>
        </is>
      </c>
      <c r="G324" s="28" t="inlineStr">
        <is>
          <t>Adzuna UK</t>
        </is>
      </c>
      <c r="H324" s="29" t="inlineStr">
        <is>
          <t>CONFIRMED</t>
        </is>
      </c>
      <c r="I324" s="28" t="n">
        <v>40</v>
      </c>
      <c r="J324" s="30" t="inlineStr">
        <is>
          <t>Apply Here</t>
        </is>
      </c>
      <c r="K324" s="31" t="inlineStr"/>
      <c r="L324" s="31" t="inlineStr"/>
      <c r="M324" s="31" t="inlineStr">
        <is>
          <t>Pending</t>
        </is>
      </c>
      <c r="N324" s="32" t="inlineStr"/>
      <c r="O324" s="31" t="inlineStr"/>
    </row>
    <row r="325" ht="16" customHeight="1">
      <c r="A325" s="33" t="inlineStr">
        <is>
          <t>29e1aa18580e</t>
        </is>
      </c>
      <c r="B325" s="33" t="inlineStr">
        <is>
          <t>25/02/2026</t>
        </is>
      </c>
      <c r="C325" s="33" t="inlineStr">
        <is>
          <t>Senior Water Networks Modeller</t>
        </is>
      </c>
      <c r="D325" s="33" t="inlineStr">
        <is>
          <t>Stantec</t>
        </is>
      </c>
      <c r="E325" s="33" t="inlineStr">
        <is>
          <t>London, UK</t>
        </is>
      </c>
      <c r="F325" s="33" t="inlineStr">
        <is>
          <t>£50,937 – £50,937</t>
        </is>
      </c>
      <c r="G325" s="33" t="inlineStr">
        <is>
          <t>Adzuna UK</t>
        </is>
      </c>
      <c r="H325" s="29" t="inlineStr">
        <is>
          <t>CONFIRMED</t>
        </is>
      </c>
      <c r="I325" s="33" t="n">
        <v>40</v>
      </c>
      <c r="J325" s="34" t="inlineStr">
        <is>
          <t>Apply Here</t>
        </is>
      </c>
      <c r="K325" s="35" t="inlineStr"/>
      <c r="L325" s="35" t="inlineStr"/>
      <c r="M325" s="35" t="inlineStr">
        <is>
          <t>Pending</t>
        </is>
      </c>
      <c r="N325" s="36" t="inlineStr"/>
      <c r="O325" s="35" t="inlineStr"/>
    </row>
    <row r="326" ht="16" customHeight="1">
      <c r="A326" s="28" t="inlineStr">
        <is>
          <t>d6b88be24890</t>
        </is>
      </c>
      <c r="B326" s="28" t="inlineStr">
        <is>
          <t>25/02/2026</t>
        </is>
      </c>
      <c r="C326" s="28" t="inlineStr">
        <is>
          <t>Senior Water Networks Modeller</t>
        </is>
      </c>
      <c r="D326" s="28" t="inlineStr">
        <is>
          <t>Stantec UK</t>
        </is>
      </c>
      <c r="E326" s="28" t="inlineStr">
        <is>
          <t>Farringdon, Central London</t>
        </is>
      </c>
      <c r="F326" s="28" t="inlineStr">
        <is>
          <t>£52,250 – £52,250</t>
        </is>
      </c>
      <c r="G326" s="28" t="inlineStr">
        <is>
          <t>Adzuna UK</t>
        </is>
      </c>
      <c r="H326" s="29" t="inlineStr">
        <is>
          <t>CONFIRMED</t>
        </is>
      </c>
      <c r="I326" s="28" t="n">
        <v>40</v>
      </c>
      <c r="J326" s="30" t="inlineStr">
        <is>
          <t>Apply Here</t>
        </is>
      </c>
      <c r="K326" s="31" t="inlineStr"/>
      <c r="L326" s="31" t="inlineStr"/>
      <c r="M326" s="31" t="inlineStr">
        <is>
          <t>Pending</t>
        </is>
      </c>
      <c r="N326" s="32" t="inlineStr"/>
      <c r="O326" s="31" t="inlineStr"/>
    </row>
    <row r="327" ht="16" customHeight="1">
      <c r="A327" s="33" t="inlineStr">
        <is>
          <t>f5bf082bf4c1</t>
        </is>
      </c>
      <c r="B327" s="33" t="inlineStr">
        <is>
          <t>26/02/2026</t>
        </is>
      </c>
      <c r="C327" s="33" t="inlineStr">
        <is>
          <t>Assistant Engineer - Clean Water Modelling</t>
        </is>
      </c>
      <c r="D327" s="33" t="inlineStr">
        <is>
          <t>WSP in the UK &amp; Ireland</t>
        </is>
      </c>
      <c r="E327" s="33" t="inlineStr">
        <is>
          <t>London, England, United Kingdom</t>
        </is>
      </c>
      <c r="F327" s="33" t="inlineStr">
        <is>
          <t>Not specified</t>
        </is>
      </c>
      <c r="G327" s="33" t="inlineStr">
        <is>
          <t>LinkedIn</t>
        </is>
      </c>
      <c r="H327" s="37" t="inlineStr">
        <is>
          <t>LIKELY</t>
        </is>
      </c>
      <c r="I327" s="33" t="n">
        <v>20</v>
      </c>
      <c r="J327" s="34" t="inlineStr">
        <is>
          <t>Apply Here</t>
        </is>
      </c>
      <c r="K327" s="35" t="inlineStr"/>
      <c r="L327" s="35" t="inlineStr"/>
      <c r="M327" s="35" t="inlineStr">
        <is>
          <t>Pending</t>
        </is>
      </c>
      <c r="N327" s="36" t="inlineStr"/>
      <c r="O327" s="35" t="inlineStr"/>
    </row>
    <row r="328" ht="16" customHeight="1">
      <c r="A328" s="28" t="inlineStr">
        <is>
          <t>27c9af08eff5</t>
        </is>
      </c>
      <c r="B328" s="28" t="inlineStr">
        <is>
          <t>27/02/2026</t>
        </is>
      </c>
      <c r="C328" s="28" t="inlineStr">
        <is>
          <t>Water Infrastructure Manager, AWS EMEA Energy &amp; Water Team</t>
        </is>
      </c>
      <c r="D328" s="28" t="inlineStr">
        <is>
          <t>Amazon Web Services (AWS)</t>
        </is>
      </c>
      <c r="E328" s="28" t="inlineStr">
        <is>
          <t>London, England, United Kingdom</t>
        </is>
      </c>
      <c r="F328" s="28" t="inlineStr">
        <is>
          <t>Not specified</t>
        </is>
      </c>
      <c r="G328" s="28" t="inlineStr">
        <is>
          <t>LinkedIn</t>
        </is>
      </c>
      <c r="H328" s="29" t="inlineStr">
        <is>
          <t>CONFIRMED</t>
        </is>
      </c>
      <c r="I328" s="28" t="n">
        <v>20</v>
      </c>
      <c r="J328" s="30" t="inlineStr">
        <is>
          <t>Apply Here</t>
        </is>
      </c>
      <c r="K328" s="31" t="inlineStr"/>
      <c r="L328" s="31" t="inlineStr"/>
      <c r="M328" s="31" t="inlineStr">
        <is>
          <t>Pending</t>
        </is>
      </c>
      <c r="N328" s="32" t="inlineStr"/>
      <c r="O328" s="31" t="inlineStr"/>
    </row>
    <row r="329" ht="16" customHeight="1">
      <c r="A329" s="33" t="inlineStr">
        <is>
          <t>ead086e9abb7</t>
        </is>
      </c>
      <c r="B329" s="33" t="inlineStr">
        <is>
          <t>27/02/2026</t>
        </is>
      </c>
      <c r="C329" s="33" t="inlineStr">
        <is>
          <t>Field Technician - Clean Water</t>
        </is>
      </c>
      <c r="D329" s="33" t="inlineStr">
        <is>
          <t>Celnor Group</t>
        </is>
      </c>
      <c r="E329" s="33" t="inlineStr">
        <is>
          <t>London Area, United Kingdom</t>
        </is>
      </c>
      <c r="F329" s="33" t="inlineStr">
        <is>
          <t>Not specified</t>
        </is>
      </c>
      <c r="G329" s="33" t="inlineStr">
        <is>
          <t>LinkedIn</t>
        </is>
      </c>
      <c r="H329" s="29" t="inlineStr">
        <is>
          <t>CONFIRMED</t>
        </is>
      </c>
      <c r="I329" s="33" t="n">
        <v>20</v>
      </c>
      <c r="J329" s="34" t="inlineStr">
        <is>
          <t>Apply Here</t>
        </is>
      </c>
      <c r="K329" s="35" t="inlineStr"/>
      <c r="L329" s="35" t="inlineStr"/>
      <c r="M329" s="35" t="inlineStr">
        <is>
          <t>Pending</t>
        </is>
      </c>
      <c r="N329" s="36" t="inlineStr"/>
      <c r="O329" s="35" t="inlineStr"/>
    </row>
    <row r="330" ht="16" customHeight="1">
      <c r="A330" s="28" t="inlineStr">
        <is>
          <t>a44e36c0bad8</t>
        </is>
      </c>
      <c r="B330" s="28" t="inlineStr">
        <is>
          <t>28/02/2026</t>
        </is>
      </c>
      <c r="C330" s="28" t="inlineStr">
        <is>
          <t>Civil Engineer – UK Water/Wastewater – All Levels – Expression of Interest</t>
        </is>
      </c>
      <c r="D330" s="28" t="inlineStr">
        <is>
          <t>Egis</t>
        </is>
      </c>
      <c r="E330" s="28" t="inlineStr">
        <is>
          <t>London, England, United Kingdom</t>
        </is>
      </c>
      <c r="F330" s="28" t="inlineStr">
        <is>
          <t>Not specified</t>
        </is>
      </c>
      <c r="G330" s="28" t="inlineStr">
        <is>
          <t>LinkedIn</t>
        </is>
      </c>
      <c r="H330" s="29" t="inlineStr">
        <is>
          <t>CONFIRMED</t>
        </is>
      </c>
      <c r="I330" s="28" t="n">
        <v>20</v>
      </c>
      <c r="J330" s="30" t="inlineStr">
        <is>
          <t>Apply Here</t>
        </is>
      </c>
      <c r="K330" s="31" t="inlineStr"/>
      <c r="L330" s="31" t="inlineStr"/>
      <c r="M330" s="31" t="inlineStr">
        <is>
          <t>Pending</t>
        </is>
      </c>
      <c r="N330" s="32" t="inlineStr"/>
      <c r="O330" s="31" t="inlineStr"/>
    </row>
    <row r="331" ht="16" customHeight="1">
      <c r="A331" s="33" t="inlineStr">
        <is>
          <t>19dd79f90989</t>
        </is>
      </c>
      <c r="B331" s="33" t="inlineStr">
        <is>
          <t>28/02/2026</t>
        </is>
      </c>
      <c r="C331" s="33" t="inlineStr">
        <is>
          <t>Civil Engineering Lead – UK Water/Wastewater (Technical Leadership &amp; Growth)</t>
        </is>
      </c>
      <c r="D331" s="33" t="inlineStr">
        <is>
          <t>Egis</t>
        </is>
      </c>
      <c r="E331" s="33" t="inlineStr">
        <is>
          <t>London, England, United Kingdom</t>
        </is>
      </c>
      <c r="F331" s="33" t="inlineStr">
        <is>
          <t>Not specified</t>
        </is>
      </c>
      <c r="G331" s="33" t="inlineStr">
        <is>
          <t>LinkedIn</t>
        </is>
      </c>
      <c r="H331" s="29" t="inlineStr">
        <is>
          <t>CONFIRMED</t>
        </is>
      </c>
      <c r="I331" s="33" t="n">
        <v>20</v>
      </c>
      <c r="J331" s="34" t="inlineStr">
        <is>
          <t>Apply Here</t>
        </is>
      </c>
      <c r="K331" s="35" t="inlineStr"/>
      <c r="L331" s="35" t="inlineStr"/>
      <c r="M331" s="35" t="inlineStr">
        <is>
          <t>Pending</t>
        </is>
      </c>
      <c r="N331" s="36" t="inlineStr"/>
      <c r="O331" s="35" t="inlineStr"/>
    </row>
    <row r="332" ht="16" customHeight="1">
      <c r="A332" s="28" t="inlineStr">
        <is>
          <t>32f5f5f9afe1</t>
        </is>
      </c>
      <c r="B332" s="28" t="inlineStr">
        <is>
          <t>02/03/2026</t>
        </is>
      </c>
      <c r="C332" s="28" t="inlineStr">
        <is>
          <t>Graduate Civil Engineer - Regulated Water (Bristol)</t>
        </is>
      </c>
      <c r="D332" s="28" t="inlineStr">
        <is>
          <t>Jacobs</t>
        </is>
      </c>
      <c r="E332" s="28" t="inlineStr">
        <is>
          <t>Bristol, England, United Kingdom</t>
        </is>
      </c>
      <c r="F332" s="28" t="inlineStr">
        <is>
          <t>Not specified</t>
        </is>
      </c>
      <c r="G332" s="28" t="inlineStr">
        <is>
          <t>LinkedIn</t>
        </is>
      </c>
      <c r="H332" s="29" t="inlineStr">
        <is>
          <t>CONFIRMED</t>
        </is>
      </c>
      <c r="I332" s="28" t="n">
        <v>20</v>
      </c>
      <c r="J332" s="30" t="inlineStr">
        <is>
          <t>Apply Here</t>
        </is>
      </c>
      <c r="K332" s="31" t="inlineStr"/>
      <c r="L332" s="31" t="inlineStr"/>
      <c r="M332" s="31" t="inlineStr">
        <is>
          <t>Pending</t>
        </is>
      </c>
      <c r="N332" s="32" t="inlineStr"/>
      <c r="O332" s="31" t="inlineStr"/>
    </row>
    <row r="333" ht="16" customHeight="1">
      <c r="A333" s="33" t="inlineStr">
        <is>
          <t>8ccb1d121c5f</t>
        </is>
      </c>
      <c r="B333" s="33" t="inlineStr">
        <is>
          <t>02/03/2026</t>
        </is>
      </c>
      <c r="C333" s="33" t="inlineStr">
        <is>
          <t>Civil Engineer Water</t>
        </is>
      </c>
      <c r="D333" s="33" t="inlineStr">
        <is>
          <t>Binnies UK Ltd</t>
        </is>
      </c>
      <c r="E333" s="33" t="inlineStr">
        <is>
          <t>Earlswood, Redhill</t>
        </is>
      </c>
      <c r="F333" s="33" t="inlineStr">
        <is>
          <t>£39,746 – £39,746</t>
        </is>
      </c>
      <c r="G333" s="33" t="inlineStr">
        <is>
          <t>Adzuna UK</t>
        </is>
      </c>
      <c r="H333" s="29" t="inlineStr">
        <is>
          <t>CONFIRMED</t>
        </is>
      </c>
      <c r="I333" s="33" t="n">
        <v>120</v>
      </c>
      <c r="J333" s="34" t="inlineStr">
        <is>
          <t>Apply Here</t>
        </is>
      </c>
      <c r="K333" s="35" t="inlineStr"/>
      <c r="L333" s="35" t="inlineStr"/>
      <c r="M333" s="35" t="inlineStr">
        <is>
          <t>Pending</t>
        </is>
      </c>
      <c r="N333" s="36" t="inlineStr"/>
      <c r="O333" s="35" t="inlineStr"/>
    </row>
    <row r="334" ht="16" customHeight="1">
      <c r="A334" s="28" t="inlineStr">
        <is>
          <t>b98dd7d25fd5</t>
        </is>
      </c>
      <c r="B334" s="28" t="inlineStr">
        <is>
          <t>02/03/2026</t>
        </is>
      </c>
      <c r="C334" s="28" t="inlineStr">
        <is>
          <t>Civil Engineer Water</t>
        </is>
      </c>
      <c r="D334" s="28" t="inlineStr">
        <is>
          <t>Binnies UK Ltd</t>
        </is>
      </c>
      <c r="E334" s="28" t="inlineStr">
        <is>
          <t>Redhill, Surrey</t>
        </is>
      </c>
      <c r="F334" s="28" t="inlineStr">
        <is>
          <t>£41,953 – £41,953</t>
        </is>
      </c>
      <c r="G334" s="28" t="inlineStr">
        <is>
          <t>Adzuna UK</t>
        </is>
      </c>
      <c r="H334" s="29" t="inlineStr">
        <is>
          <t>CONFIRMED</t>
        </is>
      </c>
      <c r="I334" s="28" t="n">
        <v>120</v>
      </c>
      <c r="J334" s="30" t="inlineStr">
        <is>
          <t>Apply Here</t>
        </is>
      </c>
      <c r="K334" s="31" t="inlineStr"/>
      <c r="L334" s="31" t="inlineStr"/>
      <c r="M334" s="31" t="inlineStr">
        <is>
          <t>Pending</t>
        </is>
      </c>
      <c r="N334" s="32" t="inlineStr"/>
      <c r="O334" s="31" t="inlineStr"/>
    </row>
    <row r="335" ht="16" customHeight="1">
      <c r="A335" s="33" t="inlineStr">
        <is>
          <t>988df77e9568</t>
        </is>
      </c>
      <c r="B335" s="33" t="inlineStr">
        <is>
          <t>02/03/2026</t>
        </is>
      </c>
      <c r="C335" s="33" t="inlineStr">
        <is>
          <t>Irrigation Engineer (Water Systems Engineer)- KSA</t>
        </is>
      </c>
      <c r="D335" s="33" t="inlineStr">
        <is>
          <t>Career Land Center</t>
        </is>
      </c>
      <c r="E335" s="33" t="inlineStr">
        <is>
          <t>Monument, Central London</t>
        </is>
      </c>
      <c r="F335" s="33" t="inlineStr">
        <is>
          <t>£39,363 – £39,363</t>
        </is>
      </c>
      <c r="G335" s="33" t="inlineStr">
        <is>
          <t>Adzuna UK</t>
        </is>
      </c>
      <c r="H335" s="29" t="inlineStr">
        <is>
          <t>CONFIRMED</t>
        </is>
      </c>
      <c r="I335" s="33" t="n">
        <v>105</v>
      </c>
      <c r="J335" s="34" t="inlineStr">
        <is>
          <t>Apply Here</t>
        </is>
      </c>
      <c r="K335" s="35" t="inlineStr"/>
      <c r="L335" s="35" t="inlineStr"/>
      <c r="M335" s="35" t="inlineStr">
        <is>
          <t>Pending</t>
        </is>
      </c>
      <c r="N335" s="36" t="inlineStr"/>
      <c r="O335" s="35" t="inlineStr"/>
    </row>
    <row r="336" ht="16" customHeight="1">
      <c r="A336" s="28" t="inlineStr">
        <is>
          <t>b56fa66dac18</t>
        </is>
      </c>
      <c r="B336" s="28" t="inlineStr">
        <is>
          <t>02/03/2026</t>
        </is>
      </c>
      <c r="C336" s="28" t="inlineStr">
        <is>
          <t>Assistant Civil Engineer</t>
        </is>
      </c>
      <c r="D336" s="28" t="inlineStr">
        <is>
          <t>Penguin Recruitment Ltd</t>
        </is>
      </c>
      <c r="E336" s="28" t="inlineStr">
        <is>
          <t>London, UK</t>
        </is>
      </c>
      <c r="F336" s="28" t="inlineStr">
        <is>
          <t>£36,000 – £40,000</t>
        </is>
      </c>
      <c r="G336" s="28" t="inlineStr">
        <is>
          <t>Adzuna UK</t>
        </is>
      </c>
      <c r="H336" s="29" t="inlineStr">
        <is>
          <t>CONFIRMED</t>
        </is>
      </c>
      <c r="I336" s="28" t="n">
        <v>80</v>
      </c>
      <c r="J336" s="30" t="inlineStr">
        <is>
          <t>Apply Here</t>
        </is>
      </c>
      <c r="K336" s="31" t="inlineStr"/>
      <c r="L336" s="31" t="inlineStr"/>
      <c r="M336" s="31" t="inlineStr">
        <is>
          <t>Pending</t>
        </is>
      </c>
      <c r="N336" s="32" t="inlineStr"/>
      <c r="O336" s="31" t="inlineStr"/>
    </row>
    <row r="337" ht="16" customHeight="1">
      <c r="A337" s="33" t="inlineStr">
        <is>
          <t>de1e25551388</t>
        </is>
      </c>
      <c r="B337" s="33" t="inlineStr">
        <is>
          <t>02/03/2026</t>
        </is>
      </c>
      <c r="C337" s="33" t="inlineStr">
        <is>
          <t>Site Agent</t>
        </is>
      </c>
      <c r="D337" s="33" t="inlineStr">
        <is>
          <t>Pinnacle Recruitment</t>
        </is>
      </c>
      <c r="E337" s="33" t="inlineStr">
        <is>
          <t>Farringdon, Central London</t>
        </is>
      </c>
      <c r="F337" s="33" t="inlineStr">
        <is>
          <t>£55,000 – £65,000</t>
        </is>
      </c>
      <c r="G337" s="33" t="inlineStr">
        <is>
          <t>Adzuna UK</t>
        </is>
      </c>
      <c r="H337" s="29" t="inlineStr">
        <is>
          <t>CONFIRMED</t>
        </is>
      </c>
      <c r="I337" s="33" t="n">
        <v>80</v>
      </c>
      <c r="J337" s="34" t="inlineStr">
        <is>
          <t>Apply Here</t>
        </is>
      </c>
      <c r="K337" s="35" t="inlineStr"/>
      <c r="L337" s="35" t="inlineStr"/>
      <c r="M337" s="35" t="inlineStr">
        <is>
          <t>Pending</t>
        </is>
      </c>
      <c r="N337" s="36" t="inlineStr"/>
      <c r="O337" s="35" t="inlineStr"/>
    </row>
    <row r="338" ht="16" customHeight="1">
      <c r="A338" s="28" t="inlineStr">
        <is>
          <t>ff4c5d4ea86c</t>
        </is>
      </c>
      <c r="B338" s="28" t="inlineStr">
        <is>
          <t>02/03/2026</t>
        </is>
      </c>
      <c r="C338" s="28" t="inlineStr">
        <is>
          <t>Process Design Engineer</t>
        </is>
      </c>
      <c r="D338" s="28" t="inlineStr">
        <is>
          <t>J Browne Construction</t>
        </is>
      </c>
      <c r="E338" s="28" t="inlineStr">
        <is>
          <t>Shendish, Hemel Hempstead</t>
        </is>
      </c>
      <c r="F338" s="28" t="inlineStr">
        <is>
          <t>£40,000 – £50,000</t>
        </is>
      </c>
      <c r="G338" s="28" t="inlineStr">
        <is>
          <t>Adzuna UK</t>
        </is>
      </c>
      <c r="H338" s="29" t="inlineStr">
        <is>
          <t>CONFIRMED</t>
        </is>
      </c>
      <c r="I338" s="28" t="n">
        <v>55</v>
      </c>
      <c r="J338" s="30" t="inlineStr">
        <is>
          <t>Apply Here</t>
        </is>
      </c>
      <c r="K338" s="31" t="inlineStr"/>
      <c r="L338" s="31" t="inlineStr"/>
      <c r="M338" s="31" t="inlineStr">
        <is>
          <t>Pending</t>
        </is>
      </c>
      <c r="N338" s="32" t="inlineStr"/>
      <c r="O338" s="31" t="inlineStr"/>
    </row>
    <row r="339" ht="16" customHeight="1">
      <c r="A339" s="33" t="inlineStr">
        <is>
          <t>f305eb4cb92f</t>
        </is>
      </c>
      <c r="B339" s="33" t="inlineStr">
        <is>
          <t>02/03/2026</t>
        </is>
      </c>
      <c r="C339" s="33" t="inlineStr">
        <is>
          <t>Process Design Engineer</t>
        </is>
      </c>
      <c r="D339" s="33" t="inlineStr">
        <is>
          <t>J Browne Construction Company Ltd</t>
        </is>
      </c>
      <c r="E339" s="33" t="inlineStr">
        <is>
          <t>Shendish, Hemel Hempstead</t>
        </is>
      </c>
      <c r="F339" s="33" t="inlineStr">
        <is>
          <t>£40,000 – £50,000</t>
        </is>
      </c>
      <c r="G339" s="33" t="inlineStr">
        <is>
          <t>Adzuna UK</t>
        </is>
      </c>
      <c r="H339" s="29" t="inlineStr">
        <is>
          <t>CONFIRMED</t>
        </is>
      </c>
      <c r="I339" s="33" t="n">
        <v>55</v>
      </c>
      <c r="J339" s="34" t="inlineStr">
        <is>
          <t>Apply Here</t>
        </is>
      </c>
      <c r="K339" s="35" t="inlineStr"/>
      <c r="L339" s="35" t="inlineStr"/>
      <c r="M339" s="35" t="inlineStr">
        <is>
          <t>Pending</t>
        </is>
      </c>
      <c r="N339" s="36" t="inlineStr"/>
      <c r="O339" s="35" t="inlineStr"/>
    </row>
    <row r="340" ht="16" customHeight="1">
      <c r="A340" s="28" t="inlineStr">
        <is>
          <t>48162a467bb3</t>
        </is>
      </c>
      <c r="B340" s="28" t="inlineStr">
        <is>
          <t>02/03/2026</t>
        </is>
      </c>
      <c r="C340" s="28" t="inlineStr">
        <is>
          <t>Civil Engineer</t>
        </is>
      </c>
      <c r="D340" s="28" t="inlineStr">
        <is>
          <t>Dc Solutions Services</t>
        </is>
      </c>
      <c r="E340" s="28" t="inlineStr">
        <is>
          <t>London, UK</t>
        </is>
      </c>
      <c r="F340" s="28" t="inlineStr">
        <is>
          <t>£36,994 – £36,994</t>
        </is>
      </c>
      <c r="G340" s="28" t="inlineStr">
        <is>
          <t>Adzuna UK</t>
        </is>
      </c>
      <c r="H340" s="29" t="inlineStr">
        <is>
          <t>CONFIRMED</t>
        </is>
      </c>
      <c r="I340" s="28" t="n">
        <v>55</v>
      </c>
      <c r="J340" s="30" t="inlineStr">
        <is>
          <t>Apply Here</t>
        </is>
      </c>
      <c r="K340" s="31" t="inlineStr"/>
      <c r="L340" s="31" t="inlineStr"/>
      <c r="M340" s="31" t="inlineStr">
        <is>
          <t>Pending</t>
        </is>
      </c>
      <c r="N340" s="32" t="inlineStr"/>
      <c r="O340" s="31" t="inlineStr"/>
    </row>
    <row r="341" ht="16" customHeight="1">
      <c r="A341" s="33" t="inlineStr">
        <is>
          <t>3a8f91affedc</t>
        </is>
      </c>
      <c r="B341" s="33" t="inlineStr">
        <is>
          <t>02/03/2026</t>
        </is>
      </c>
      <c r="C341" s="33" t="inlineStr">
        <is>
          <t>Civil Design Engineer</t>
        </is>
      </c>
      <c r="D341" s="33" t="inlineStr">
        <is>
          <t>Murray McIntosh Recruitment Consultancy</t>
        </is>
      </c>
      <c r="E341" s="33" t="inlineStr">
        <is>
          <t>Fleet, Hampshire</t>
        </is>
      </c>
      <c r="F341" s="33" t="inlineStr">
        <is>
          <t>£50,000 – £65,000</t>
        </is>
      </c>
      <c r="G341" s="33" t="inlineStr">
        <is>
          <t>Adzuna UK</t>
        </is>
      </c>
      <c r="H341" s="29" t="inlineStr">
        <is>
          <t>CONFIRMED</t>
        </is>
      </c>
      <c r="I341" s="33" t="n">
        <v>55</v>
      </c>
      <c r="J341" s="34" t="inlineStr">
        <is>
          <t>Apply Here</t>
        </is>
      </c>
      <c r="K341" s="35" t="inlineStr"/>
      <c r="L341" s="35" t="inlineStr"/>
      <c r="M341" s="35" t="inlineStr">
        <is>
          <t>Pending</t>
        </is>
      </c>
      <c r="N341" s="36" t="inlineStr"/>
      <c r="O341" s="35" t="inlineStr"/>
    </row>
    <row r="342" ht="16" customHeight="1">
      <c r="A342" s="28" t="inlineStr">
        <is>
          <t>9afa89f2389c</t>
        </is>
      </c>
      <c r="B342" s="28" t="inlineStr">
        <is>
          <t>02/03/2026</t>
        </is>
      </c>
      <c r="C342" s="28" t="inlineStr">
        <is>
          <t>Graduate Urban Drainage Modeller - 2026 (Reading)</t>
        </is>
      </c>
      <c r="D342" s="28" t="inlineStr">
        <is>
          <t>Stantec</t>
        </is>
      </c>
      <c r="E342" s="28" t="inlineStr">
        <is>
          <t>Reading, Berkshire</t>
        </is>
      </c>
      <c r="F342" s="28" t="inlineStr">
        <is>
          <t>£41,041 – £41,041</t>
        </is>
      </c>
      <c r="G342" s="28" t="inlineStr">
        <is>
          <t>Adzuna UK</t>
        </is>
      </c>
      <c r="H342" s="29" t="inlineStr">
        <is>
          <t>CONFIRMED</t>
        </is>
      </c>
      <c r="I342" s="28" t="n">
        <v>55</v>
      </c>
      <c r="J342" s="30" t="inlineStr">
        <is>
          <t>Apply Here</t>
        </is>
      </c>
      <c r="K342" s="31" t="inlineStr"/>
      <c r="L342" s="31" t="inlineStr"/>
      <c r="M342" s="31" t="inlineStr">
        <is>
          <t>Pending</t>
        </is>
      </c>
      <c r="N342" s="32" t="inlineStr"/>
      <c r="O342" s="31" t="inlineStr"/>
    </row>
    <row r="343" ht="16" customHeight="1">
      <c r="A343" s="33" t="inlineStr">
        <is>
          <t>6c41481ea907</t>
        </is>
      </c>
      <c r="B343" s="33" t="inlineStr">
        <is>
          <t>02/03/2026</t>
        </is>
      </c>
      <c r="C343" s="33" t="inlineStr">
        <is>
          <t>Graduate Urban Drainage Modeller - 2026 (High Wycombe)</t>
        </is>
      </c>
      <c r="D343" s="33" t="inlineStr">
        <is>
          <t>Stantec</t>
        </is>
      </c>
      <c r="E343" s="33" t="inlineStr">
        <is>
          <t>High Wycombe, Buckinghamshire</t>
        </is>
      </c>
      <c r="F343" s="33" t="inlineStr">
        <is>
          <t>£41,409 – £41,409</t>
        </is>
      </c>
      <c r="G343" s="33" t="inlineStr">
        <is>
          <t>Adzuna UK</t>
        </is>
      </c>
      <c r="H343" s="29" t="inlineStr">
        <is>
          <t>CONFIRMED</t>
        </is>
      </c>
      <c r="I343" s="33" t="n">
        <v>55</v>
      </c>
      <c r="J343" s="34" t="inlineStr">
        <is>
          <t>Apply Here</t>
        </is>
      </c>
      <c r="K343" s="35" t="inlineStr"/>
      <c r="L343" s="35" t="inlineStr"/>
      <c r="M343" s="35" t="inlineStr">
        <is>
          <t>Pending</t>
        </is>
      </c>
      <c r="N343" s="36" t="inlineStr"/>
      <c r="O343" s="35" t="inlineStr"/>
    </row>
    <row r="344" ht="16" customHeight="1">
      <c r="A344" s="28" t="inlineStr">
        <is>
          <t>25fb668c615b</t>
        </is>
      </c>
      <c r="B344" s="28" t="inlineStr">
        <is>
          <t>02/03/2026</t>
        </is>
      </c>
      <c r="C344" s="28" t="inlineStr">
        <is>
          <t>Graduate Urban Drainage Modeller - 2026 (High Wycombe)</t>
        </is>
      </c>
      <c r="D344" s="28" t="inlineStr">
        <is>
          <t>Stantec UK</t>
        </is>
      </c>
      <c r="E344" s="28" t="inlineStr">
        <is>
          <t>Hughenden, High Wycombe</t>
        </is>
      </c>
      <c r="F344" s="28" t="inlineStr">
        <is>
          <t>£37,839 – £37,839</t>
        </is>
      </c>
      <c r="G344" s="28" t="inlineStr">
        <is>
          <t>Adzuna UK</t>
        </is>
      </c>
      <c r="H344" s="29" t="inlineStr">
        <is>
          <t>CONFIRMED</t>
        </is>
      </c>
      <c r="I344" s="28" t="n">
        <v>55</v>
      </c>
      <c r="J344" s="30" t="inlineStr">
        <is>
          <t>Apply Here</t>
        </is>
      </c>
      <c r="K344" s="31" t="inlineStr"/>
      <c r="L344" s="31" t="inlineStr"/>
      <c r="M344" s="31" t="inlineStr">
        <is>
          <t>Pending</t>
        </is>
      </c>
      <c r="N344" s="32" t="inlineStr"/>
      <c r="O344" s="31" t="inlineStr"/>
    </row>
    <row r="345" ht="16" customHeight="1">
      <c r="A345" s="33" t="inlineStr">
        <is>
          <t>a3ecf2cde781</t>
        </is>
      </c>
      <c r="B345" s="33" t="inlineStr">
        <is>
          <t>02/03/2026</t>
        </is>
      </c>
      <c r="C345" s="33" t="inlineStr">
        <is>
          <t>Installation operative</t>
        </is>
      </c>
      <c r="D345" s="33" t="inlineStr">
        <is>
          <t>Kiota Recruitment</t>
        </is>
      </c>
      <c r="E345" s="33" t="inlineStr">
        <is>
          <t>Binfield, Bracknell</t>
        </is>
      </c>
      <c r="F345" s="33" t="inlineStr">
        <is>
          <t>£35,000 – £40,000</t>
        </is>
      </c>
      <c r="G345" s="33" t="inlineStr">
        <is>
          <t>Adzuna UK</t>
        </is>
      </c>
      <c r="H345" s="29" t="inlineStr">
        <is>
          <t>CONFIRMED</t>
        </is>
      </c>
      <c r="I345" s="33" t="n">
        <v>55</v>
      </c>
      <c r="J345" s="34" t="inlineStr">
        <is>
          <t>Apply Here</t>
        </is>
      </c>
      <c r="K345" s="35" t="inlineStr"/>
      <c r="L345" s="35" t="inlineStr"/>
      <c r="M345" s="35" t="inlineStr">
        <is>
          <t>Pending</t>
        </is>
      </c>
      <c r="N345" s="36" t="inlineStr"/>
      <c r="O345" s="35" t="inlineStr"/>
    </row>
    <row r="346" ht="16" customHeight="1">
      <c r="A346" s="28" t="inlineStr">
        <is>
          <t>5f62d3dfd0a4</t>
        </is>
      </c>
      <c r="B346" s="28" t="inlineStr">
        <is>
          <t>02/03/2026</t>
        </is>
      </c>
      <c r="C346" s="28" t="inlineStr">
        <is>
          <t>Site Agent</t>
        </is>
      </c>
      <c r="D346" s="28" t="inlineStr">
        <is>
          <t>Pinnacle Recruitment</t>
        </is>
      </c>
      <c r="E346" s="28" t="inlineStr">
        <is>
          <t>Waltham Forest, East London</t>
        </is>
      </c>
      <c r="F346" s="28" t="inlineStr">
        <is>
          <t>£55,000 – £55,000</t>
        </is>
      </c>
      <c r="G346" s="28" t="inlineStr">
        <is>
          <t>Adzuna UK</t>
        </is>
      </c>
      <c r="H346" s="29" t="inlineStr">
        <is>
          <t>CONFIRMED</t>
        </is>
      </c>
      <c r="I346" s="28" t="n">
        <v>55</v>
      </c>
      <c r="J346" s="30" t="inlineStr">
        <is>
          <t>Apply Here</t>
        </is>
      </c>
      <c r="K346" s="31" t="inlineStr"/>
      <c r="L346" s="31" t="inlineStr"/>
      <c r="M346" s="31" t="inlineStr">
        <is>
          <t>Pending</t>
        </is>
      </c>
      <c r="N346" s="32" t="inlineStr"/>
      <c r="O346" s="31" t="inlineStr"/>
    </row>
    <row r="347" ht="16" customHeight="1">
      <c r="A347" s="33" t="inlineStr">
        <is>
          <t>286784ca7f2e</t>
        </is>
      </c>
      <c r="B347" s="33" t="inlineStr">
        <is>
          <t>02/03/2026</t>
        </is>
      </c>
      <c r="C347" s="33" t="inlineStr">
        <is>
          <t>Mains Replacement Agent</t>
        </is>
      </c>
      <c r="D347" s="33" t="inlineStr">
        <is>
          <t>J Browne Construction Company Ltd</t>
        </is>
      </c>
      <c r="E347" s="33" t="inlineStr">
        <is>
          <t>Clapton, East London</t>
        </is>
      </c>
      <c r="F347" s="33" t="inlineStr">
        <is>
          <t>£50,000 – £55,000</t>
        </is>
      </c>
      <c r="G347" s="33" t="inlineStr">
        <is>
          <t>Adzuna UK</t>
        </is>
      </c>
      <c r="H347" s="29" t="inlineStr">
        <is>
          <t>CONFIRMED</t>
        </is>
      </c>
      <c r="I347" s="33" t="n">
        <v>55</v>
      </c>
      <c r="J347" s="34" t="inlineStr">
        <is>
          <t>Apply Here</t>
        </is>
      </c>
      <c r="K347" s="35" t="inlineStr"/>
      <c r="L347" s="35" t="inlineStr"/>
      <c r="M347" s="35" t="inlineStr">
        <is>
          <t>Pending</t>
        </is>
      </c>
      <c r="N347" s="36" t="inlineStr"/>
      <c r="O347" s="35" t="inlineStr"/>
    </row>
    <row r="348" ht="16" customHeight="1">
      <c r="A348" s="28" t="inlineStr">
        <is>
          <t>63c220611019</t>
        </is>
      </c>
      <c r="B348" s="28" t="inlineStr">
        <is>
          <t>02/03/2026</t>
        </is>
      </c>
      <c r="C348" s="28" t="inlineStr">
        <is>
          <t>Mains Replacement Agent</t>
        </is>
      </c>
      <c r="D348" s="28" t="inlineStr">
        <is>
          <t>Browne Construction</t>
        </is>
      </c>
      <c r="E348" s="28" t="inlineStr">
        <is>
          <t>Lea Bridge, East London</t>
        </is>
      </c>
      <c r="F348" s="28" t="inlineStr">
        <is>
          <t>£50,000 – £55,000</t>
        </is>
      </c>
      <c r="G348" s="28" t="inlineStr">
        <is>
          <t>Adzuna UK</t>
        </is>
      </c>
      <c r="H348" s="29" t="inlineStr">
        <is>
          <t>CONFIRMED</t>
        </is>
      </c>
      <c r="I348" s="28" t="n">
        <v>55</v>
      </c>
      <c r="J348" s="30" t="inlineStr">
        <is>
          <t>Apply Here</t>
        </is>
      </c>
      <c r="K348" s="31" t="inlineStr"/>
      <c r="L348" s="31" t="inlineStr"/>
      <c r="M348" s="31" t="inlineStr">
        <is>
          <t>Pending</t>
        </is>
      </c>
      <c r="N348" s="32" t="inlineStr"/>
      <c r="O348" s="31" t="inlineStr"/>
    </row>
    <row r="349" ht="16" customHeight="1">
      <c r="A349" s="33" t="inlineStr">
        <is>
          <t>126917020101</t>
        </is>
      </c>
      <c r="B349" s="33" t="inlineStr">
        <is>
          <t>02/03/2026</t>
        </is>
      </c>
      <c r="C349" s="33" t="inlineStr">
        <is>
          <t>Career Opportunities in the Water Sector - Brighton &amp; The South East | Expression of Interest</t>
        </is>
      </c>
      <c r="D349" s="33" t="inlineStr">
        <is>
          <t>Stantec</t>
        </is>
      </c>
      <c r="E349" s="33" t="inlineStr">
        <is>
          <t>Kings Hill, West Malling</t>
        </is>
      </c>
      <c r="F349" s="33" t="inlineStr">
        <is>
          <t>£48,677 – £48,677</t>
        </is>
      </c>
      <c r="G349" s="33" t="inlineStr">
        <is>
          <t>Adzuna UK</t>
        </is>
      </c>
      <c r="H349" s="29" t="inlineStr">
        <is>
          <t>CONFIRMED</t>
        </is>
      </c>
      <c r="I349" s="33" t="n">
        <v>55</v>
      </c>
      <c r="J349" s="34" t="inlineStr">
        <is>
          <t>Apply Here</t>
        </is>
      </c>
      <c r="K349" s="35" t="inlineStr"/>
      <c r="L349" s="35" t="inlineStr"/>
      <c r="M349" s="35" t="inlineStr">
        <is>
          <t>Pending</t>
        </is>
      </c>
      <c r="N349" s="36" t="inlineStr"/>
      <c r="O349" s="35" t="inlineStr"/>
    </row>
    <row r="350" ht="16" customHeight="1">
      <c r="A350" s="28" t="inlineStr">
        <is>
          <t>14d95f9c23b5</t>
        </is>
      </c>
      <c r="B350" s="28" t="inlineStr">
        <is>
          <t>02/03/2026</t>
        </is>
      </c>
      <c r="C350" s="28" t="inlineStr">
        <is>
          <t>Drainage Engineer</t>
        </is>
      </c>
      <c r="D350" s="28" t="inlineStr">
        <is>
          <t>Clear Rod Drainage Solutions Ltd</t>
        </is>
      </c>
      <c r="E350" s="28" t="inlineStr">
        <is>
          <t>Sidcup, Kent</t>
        </is>
      </c>
      <c r="F350" s="28" t="inlineStr">
        <is>
          <t>£35,000 – £35,000</t>
        </is>
      </c>
      <c r="G350" s="28" t="inlineStr">
        <is>
          <t>Adzuna UK</t>
        </is>
      </c>
      <c r="H350" s="29" t="inlineStr">
        <is>
          <t>CONFIRMED</t>
        </is>
      </c>
      <c r="I350" s="28" t="n">
        <v>50</v>
      </c>
      <c r="J350" s="30" t="inlineStr">
        <is>
          <t>Apply Here</t>
        </is>
      </c>
      <c r="K350" s="31" t="inlineStr"/>
      <c r="L350" s="31" t="inlineStr"/>
      <c r="M350" s="31" t="inlineStr">
        <is>
          <t>Pending</t>
        </is>
      </c>
      <c r="N350" s="32" t="inlineStr"/>
      <c r="O350" s="31" t="inlineStr"/>
    </row>
    <row r="351" ht="16" customHeight="1">
      <c r="A351" s="33" t="inlineStr">
        <is>
          <t>6708cfa62590</t>
        </is>
      </c>
      <c r="B351" s="33" t="inlineStr">
        <is>
          <t>02/03/2026</t>
        </is>
      </c>
      <c r="C351" s="33" t="inlineStr">
        <is>
          <t>Civil Engineer</t>
        </is>
      </c>
      <c r="D351" s="33" t="inlineStr">
        <is>
          <t>Anglian Water Services</t>
        </is>
      </c>
      <c r="E351" s="33" t="inlineStr">
        <is>
          <t>Selby, England, United Kingdom</t>
        </is>
      </c>
      <c r="F351" s="33" t="inlineStr">
        <is>
          <t>Not specified</t>
        </is>
      </c>
      <c r="G351" s="33" t="inlineStr">
        <is>
          <t>LinkedIn</t>
        </is>
      </c>
      <c r="H351" s="29" t="inlineStr">
        <is>
          <t>CONFIRMED</t>
        </is>
      </c>
      <c r="I351" s="33" t="n">
        <v>45</v>
      </c>
      <c r="J351" s="34" t="inlineStr">
        <is>
          <t>Apply Here</t>
        </is>
      </c>
      <c r="K351" s="35" t="inlineStr"/>
      <c r="L351" s="35" t="inlineStr"/>
      <c r="M351" s="35" t="inlineStr">
        <is>
          <t>Pending</t>
        </is>
      </c>
      <c r="N351" s="36" t="inlineStr"/>
      <c r="O351" s="35" t="inlineStr"/>
    </row>
    <row r="352" ht="16" customHeight="1">
      <c r="A352" s="28" t="inlineStr">
        <is>
          <t>8e3fdf66fb8e</t>
        </is>
      </c>
      <c r="B352" s="28" t="inlineStr">
        <is>
          <t>02/03/2026</t>
        </is>
      </c>
      <c r="C352" s="28" t="inlineStr">
        <is>
          <t>Health, Safety &amp; Environmental (SHE) Advisor</t>
        </is>
      </c>
      <c r="D352" s="28" t="inlineStr">
        <is>
          <t>RSK Group</t>
        </is>
      </c>
      <c r="E352" s="28" t="inlineStr">
        <is>
          <t>Earlswood, Redhill</t>
        </is>
      </c>
      <c r="F352" s="28" t="inlineStr">
        <is>
          <t>£43,512 – £43,512</t>
        </is>
      </c>
      <c r="G352" s="28" t="inlineStr">
        <is>
          <t>Adzuna UK</t>
        </is>
      </c>
      <c r="H352" s="29" t="inlineStr">
        <is>
          <t>CONFIRMED</t>
        </is>
      </c>
      <c r="I352" s="28" t="n">
        <v>40</v>
      </c>
      <c r="J352" s="30" t="inlineStr">
        <is>
          <t>Apply Here</t>
        </is>
      </c>
      <c r="K352" s="31" t="inlineStr"/>
      <c r="L352" s="31" t="inlineStr"/>
      <c r="M352" s="31" t="inlineStr">
        <is>
          <t>Pending</t>
        </is>
      </c>
      <c r="N352" s="32" t="inlineStr"/>
      <c r="O352" s="31" t="inlineStr"/>
    </row>
    <row r="353" ht="16" customHeight="1">
      <c r="A353" s="33" t="inlineStr">
        <is>
          <t>b1905e913478</t>
        </is>
      </c>
      <c r="B353" s="33" t="inlineStr">
        <is>
          <t>02/03/2026</t>
        </is>
      </c>
      <c r="C353" s="33" t="inlineStr">
        <is>
          <t>Health and Safety Advisor</t>
        </is>
      </c>
      <c r="D353" s="33" t="inlineStr">
        <is>
          <t>THE CLANCY GROUP</t>
        </is>
      </c>
      <c r="E353" s="33" t="inlineStr">
        <is>
          <t>Sawbridgeworth, Hertfordshire</t>
        </is>
      </c>
      <c r="F353" s="33" t="inlineStr">
        <is>
          <t>£45,000 – £45,000</t>
        </is>
      </c>
      <c r="G353" s="33" t="inlineStr">
        <is>
          <t>Adzuna UK</t>
        </is>
      </c>
      <c r="H353" s="29" t="inlineStr">
        <is>
          <t>CONFIRMED</t>
        </is>
      </c>
      <c r="I353" s="33" t="n">
        <v>40</v>
      </c>
      <c r="J353" s="34" t="inlineStr">
        <is>
          <t>Apply Here</t>
        </is>
      </c>
      <c r="K353" s="35" t="inlineStr"/>
      <c r="L353" s="35" t="inlineStr"/>
      <c r="M353" s="35" t="inlineStr">
        <is>
          <t>Pending</t>
        </is>
      </c>
      <c r="N353" s="36" t="inlineStr"/>
      <c r="O353" s="35" t="inlineStr"/>
    </row>
    <row r="354" ht="16" customHeight="1">
      <c r="A354" s="28" t="inlineStr">
        <is>
          <t>d3991a2404ba</t>
        </is>
      </c>
      <c r="B354" s="28" t="inlineStr">
        <is>
          <t>02/03/2026</t>
        </is>
      </c>
      <c r="C354" s="28" t="inlineStr">
        <is>
          <t>Advocacy and Parliamentary Affairs Officer</t>
        </is>
      </c>
      <c r="D354" s="28" t="inlineStr">
        <is>
          <t>Unknown</t>
        </is>
      </c>
      <c r="E354" s="28" t="inlineStr">
        <is>
          <t>UK</t>
        </is>
      </c>
      <c r="F354" s="28" t="inlineStr">
        <is>
          <t>See listing</t>
        </is>
      </c>
      <c r="G354" s="28" t="inlineStr">
        <is>
          <t>Environment Jobs</t>
        </is>
      </c>
      <c r="H354" s="29" t="inlineStr">
        <is>
          <t>CONFIRMED</t>
        </is>
      </c>
      <c r="I354" s="28" t="n">
        <v>35</v>
      </c>
      <c r="J354" s="30" t="inlineStr">
        <is>
          <t>Apply Here</t>
        </is>
      </c>
      <c r="K354" s="31" t="inlineStr"/>
      <c r="L354" s="31" t="inlineStr"/>
      <c r="M354" s="31" t="inlineStr">
        <is>
          <t>Pending</t>
        </is>
      </c>
      <c r="N354" s="32" t="inlineStr"/>
      <c r="O354" s="31" t="inlineStr"/>
    </row>
    <row r="355" ht="16" customHeight="1">
      <c r="A355" s="33" t="inlineStr">
        <is>
          <t>a703125d5215</t>
        </is>
      </c>
      <c r="B355" s="33" t="inlineStr">
        <is>
          <t>02/03/2026</t>
        </is>
      </c>
      <c r="C355" s="33" t="inlineStr">
        <is>
          <t>Design Engineer</t>
        </is>
      </c>
      <c r="D355" s="33" t="inlineStr">
        <is>
          <t>E-Solutions</t>
        </is>
      </c>
      <c r="E355" s="33" t="inlineStr">
        <is>
          <t>Wales, United Kingdom</t>
        </is>
      </c>
      <c r="F355" s="33" t="inlineStr">
        <is>
          <t>Not specified</t>
        </is>
      </c>
      <c r="G355" s="33" t="inlineStr">
        <is>
          <t>LinkedIn</t>
        </is>
      </c>
      <c r="H355" s="29" t="inlineStr">
        <is>
          <t>CONFIRMED</t>
        </is>
      </c>
      <c r="I355" s="33" t="n">
        <v>35</v>
      </c>
      <c r="J355" s="34" t="inlineStr">
        <is>
          <t>Apply Here</t>
        </is>
      </c>
      <c r="K355" s="35" t="inlineStr"/>
      <c r="L355" s="35" t="inlineStr"/>
      <c r="M355" s="35" t="inlineStr">
        <is>
          <t>Pending</t>
        </is>
      </c>
      <c r="N355" s="36" t="inlineStr"/>
      <c r="O355" s="35" t="inlineStr"/>
    </row>
    <row r="356" ht="16" customHeight="1">
      <c r="A356" s="28" t="inlineStr">
        <is>
          <t>e4d8ae43b42f</t>
        </is>
      </c>
      <c r="B356" s="28" t="inlineStr">
        <is>
          <t>02/03/2026</t>
        </is>
      </c>
      <c r="C356" s="28" t="inlineStr">
        <is>
          <t>Multiskilled Engineer</t>
        </is>
      </c>
      <c r="D356" s="28" t="inlineStr">
        <is>
          <t>Styrene Packaging &amp; Insulation Ltd</t>
        </is>
      </c>
      <c r="E356" s="28" t="inlineStr">
        <is>
          <t>Bradford, England, United Kingdom</t>
        </is>
      </c>
      <c r="F356" s="28" t="inlineStr">
        <is>
          <t>Not specified</t>
        </is>
      </c>
      <c r="G356" s="28" t="inlineStr">
        <is>
          <t>LinkedIn</t>
        </is>
      </c>
      <c r="H356" s="29" t="inlineStr">
        <is>
          <t>CONFIRMED</t>
        </is>
      </c>
      <c r="I356" s="28" t="n">
        <v>35</v>
      </c>
      <c r="J356" s="30" t="inlineStr">
        <is>
          <t>Apply Here</t>
        </is>
      </c>
      <c r="K356" s="31" t="inlineStr"/>
      <c r="L356" s="31" t="inlineStr"/>
      <c r="M356" s="31" t="inlineStr">
        <is>
          <t>Pending</t>
        </is>
      </c>
      <c r="N356" s="32" t="inlineStr"/>
      <c r="O356" s="31" t="inlineStr"/>
    </row>
    <row r="357" ht="16" customHeight="1">
      <c r="A357" s="33" t="inlineStr">
        <is>
          <t>c6f56742e13e</t>
        </is>
      </c>
      <c r="B357" s="33" t="inlineStr">
        <is>
          <t>02/03/2026</t>
        </is>
      </c>
      <c r="C357" s="33" t="inlineStr">
        <is>
          <t>Section Engineer</t>
        </is>
      </c>
      <c r="D357" s="33" t="inlineStr">
        <is>
          <t>BAM UK &amp; Ireland</t>
        </is>
      </c>
      <c r="E357" s="33" t="inlineStr">
        <is>
          <t>Plymouth, England, United Kingdom</t>
        </is>
      </c>
      <c r="F357" s="33" t="inlineStr">
        <is>
          <t>Not specified</t>
        </is>
      </c>
      <c r="G357" s="33" t="inlineStr">
        <is>
          <t>LinkedIn</t>
        </is>
      </c>
      <c r="H357" s="29" t="inlineStr">
        <is>
          <t>CONFIRMED</t>
        </is>
      </c>
      <c r="I357" s="33" t="n">
        <v>35</v>
      </c>
      <c r="J357" s="34" t="inlineStr">
        <is>
          <t>Apply Here</t>
        </is>
      </c>
      <c r="K357" s="35" t="inlineStr"/>
      <c r="L357" s="35" t="inlineStr"/>
      <c r="M357" s="35" t="inlineStr">
        <is>
          <t>Pending</t>
        </is>
      </c>
      <c r="N357" s="36" t="inlineStr"/>
      <c r="O357" s="35" t="inlineStr"/>
    </row>
    <row r="358" ht="16" customHeight="1">
      <c r="A358" s="28" t="inlineStr">
        <is>
          <t>ef306be90e51</t>
        </is>
      </c>
      <c r="B358" s="28" t="inlineStr">
        <is>
          <t>02/03/2026</t>
        </is>
      </c>
      <c r="C358" s="28" t="inlineStr">
        <is>
          <t>Engineer</t>
        </is>
      </c>
      <c r="D358" s="28" t="inlineStr">
        <is>
          <t>Persimmon Homes</t>
        </is>
      </c>
      <c r="E358" s="28" t="inlineStr">
        <is>
          <t>North Yorkshire, England, United Kingdom</t>
        </is>
      </c>
      <c r="F358" s="28" t="inlineStr">
        <is>
          <t>Not specified</t>
        </is>
      </c>
      <c r="G358" s="28" t="inlineStr">
        <is>
          <t>LinkedIn</t>
        </is>
      </c>
      <c r="H358" s="29" t="inlineStr">
        <is>
          <t>CONFIRMED</t>
        </is>
      </c>
      <c r="I358" s="28" t="n">
        <v>35</v>
      </c>
      <c r="J358" s="30" t="inlineStr">
        <is>
          <t>Apply Here</t>
        </is>
      </c>
      <c r="K358" s="31" t="inlineStr"/>
      <c r="L358" s="31" t="inlineStr"/>
      <c r="M358" s="31" t="inlineStr">
        <is>
          <t>Pending</t>
        </is>
      </c>
      <c r="N358" s="32" t="inlineStr"/>
      <c r="O358" s="31" t="inlineStr"/>
    </row>
    <row r="359" ht="16" customHeight="1">
      <c r="A359" s="33" t="inlineStr">
        <is>
          <t>24bbe4029ad1</t>
        </is>
      </c>
      <c r="B359" s="33" t="inlineStr">
        <is>
          <t>02/03/2026</t>
        </is>
      </c>
      <c r="C359" s="33" t="inlineStr">
        <is>
          <t>Graduate Maritime Engineer (5647)</t>
        </is>
      </c>
      <c r="D359" s="33" t="inlineStr">
        <is>
          <t>Arup</t>
        </is>
      </c>
      <c r="E359" s="33" t="inlineStr">
        <is>
          <t>London, England, United Kingdom</t>
        </is>
      </c>
      <c r="F359" s="33" t="inlineStr">
        <is>
          <t>Not specified</t>
        </is>
      </c>
      <c r="G359" s="33" t="inlineStr">
        <is>
          <t>LinkedIn</t>
        </is>
      </c>
      <c r="H359" s="29" t="inlineStr">
        <is>
          <t>CONFIRMED</t>
        </is>
      </c>
      <c r="I359" s="33" t="n">
        <v>35</v>
      </c>
      <c r="J359" s="34" t="inlineStr">
        <is>
          <t>Apply Here</t>
        </is>
      </c>
      <c r="K359" s="35" t="inlineStr"/>
      <c r="L359" s="35" t="inlineStr"/>
      <c r="M359" s="35" t="inlineStr">
        <is>
          <t>Pending</t>
        </is>
      </c>
      <c r="N359" s="36" t="inlineStr"/>
      <c r="O359" s="35" t="inlineStr"/>
    </row>
    <row r="360" ht="16" customHeight="1">
      <c r="A360" s="28" t="inlineStr">
        <is>
          <t>5f1dcec245a1</t>
        </is>
      </c>
      <c r="B360" s="28" t="inlineStr">
        <is>
          <t>02/03/2026</t>
        </is>
      </c>
      <c r="C360" s="28" t="inlineStr">
        <is>
          <t>Network Engineer - FinTech - £80,000-£120,000 + Bonus</t>
        </is>
      </c>
      <c r="D360" s="28" t="inlineStr">
        <is>
          <t>Hunter Bond</t>
        </is>
      </c>
      <c r="E360" s="28" t="inlineStr">
        <is>
          <t>London Area, United Kingdom</t>
        </is>
      </c>
      <c r="F360" s="28" t="inlineStr">
        <is>
          <t>Not specified</t>
        </is>
      </c>
      <c r="G360" s="28" t="inlineStr">
        <is>
          <t>LinkedIn</t>
        </is>
      </c>
      <c r="H360" s="29" t="inlineStr">
        <is>
          <t>CONFIRMED</t>
        </is>
      </c>
      <c r="I360" s="28" t="n">
        <v>35</v>
      </c>
      <c r="J360" s="30" t="inlineStr">
        <is>
          <t>Apply Here</t>
        </is>
      </c>
      <c r="K360" s="31" t="inlineStr"/>
      <c r="L360" s="31" t="inlineStr"/>
      <c r="M360" s="31" t="inlineStr">
        <is>
          <t>Pending</t>
        </is>
      </c>
      <c r="N360" s="32" t="inlineStr"/>
      <c r="O360" s="31" t="inlineStr"/>
    </row>
    <row r="361" ht="16" customHeight="1">
      <c r="A361" s="33" t="inlineStr">
        <is>
          <t>71ea56a0cb1f</t>
        </is>
      </c>
      <c r="B361" s="33" t="inlineStr">
        <is>
          <t>02/03/2026</t>
        </is>
      </c>
      <c r="C361" s="33" t="inlineStr">
        <is>
          <t>Low Voltage Systems Engineer</t>
        </is>
      </c>
      <c r="D361" s="33" t="inlineStr">
        <is>
          <t>Advanced Resource Managers</t>
        </is>
      </c>
      <c r="E361" s="33" t="inlineStr">
        <is>
          <t>Crewe, England, United Kingdom</t>
        </is>
      </c>
      <c r="F361" s="33" t="inlineStr">
        <is>
          <t>Not specified</t>
        </is>
      </c>
      <c r="G361" s="33" t="inlineStr">
        <is>
          <t>LinkedIn</t>
        </is>
      </c>
      <c r="H361" s="29" t="inlineStr">
        <is>
          <t>CONFIRMED</t>
        </is>
      </c>
      <c r="I361" s="33" t="n">
        <v>35</v>
      </c>
      <c r="J361" s="34" t="inlineStr">
        <is>
          <t>Apply Here</t>
        </is>
      </c>
      <c r="K361" s="35" t="inlineStr"/>
      <c r="L361" s="35" t="inlineStr"/>
      <c r="M361" s="35" t="inlineStr">
        <is>
          <t>Pending</t>
        </is>
      </c>
      <c r="N361" s="36" t="inlineStr"/>
      <c r="O361" s="35" t="inlineStr"/>
    </row>
    <row r="362" ht="16" customHeight="1">
      <c r="A362" s="28" t="inlineStr">
        <is>
          <t>b01613ee6bb0</t>
        </is>
      </c>
      <c r="B362" s="28" t="inlineStr">
        <is>
          <t>02/03/2026</t>
        </is>
      </c>
      <c r="C362" s="28" t="inlineStr">
        <is>
          <t>Network Engineer</t>
        </is>
      </c>
      <c r="D362" s="28" t="inlineStr">
        <is>
          <t>hackajob</t>
        </is>
      </c>
      <c r="E362" s="28" t="inlineStr">
        <is>
          <t>United Kingdom</t>
        </is>
      </c>
      <c r="F362" s="28" t="inlineStr">
        <is>
          <t>Not specified</t>
        </is>
      </c>
      <c r="G362" s="28" t="inlineStr">
        <is>
          <t>LinkedIn</t>
        </is>
      </c>
      <c r="H362" s="29" t="inlineStr">
        <is>
          <t>CONFIRMED</t>
        </is>
      </c>
      <c r="I362" s="28" t="n">
        <v>35</v>
      </c>
      <c r="J362" s="30" t="inlineStr">
        <is>
          <t>Apply Here</t>
        </is>
      </c>
      <c r="K362" s="31" t="inlineStr"/>
      <c r="L362" s="31" t="inlineStr"/>
      <c r="M362" s="31" t="inlineStr">
        <is>
          <t>Pending</t>
        </is>
      </c>
      <c r="N362" s="32" t="inlineStr"/>
      <c r="O362" s="31" t="inlineStr"/>
    </row>
    <row r="363" ht="16" customHeight="1">
      <c r="A363" s="33" t="inlineStr">
        <is>
          <t>46fea5802e6b</t>
        </is>
      </c>
      <c r="B363" s="33" t="inlineStr">
        <is>
          <t>02/03/2026</t>
        </is>
      </c>
      <c r="C363" s="33" t="inlineStr">
        <is>
          <t>Senior InfoSec / Network Engineer (NIST / CIS) - £90k</t>
        </is>
      </c>
      <c r="D363" s="33" t="inlineStr">
        <is>
          <t>Hawksworth</t>
        </is>
      </c>
      <c r="E363" s="33" t="inlineStr">
        <is>
          <t>Surrey, England, United Kingdom</t>
        </is>
      </c>
      <c r="F363" s="33" t="inlineStr">
        <is>
          <t>Not specified</t>
        </is>
      </c>
      <c r="G363" s="33" t="inlineStr">
        <is>
          <t>LinkedIn</t>
        </is>
      </c>
      <c r="H363" s="29" t="inlineStr">
        <is>
          <t>CONFIRMED</t>
        </is>
      </c>
      <c r="I363" s="33" t="n">
        <v>35</v>
      </c>
      <c r="J363" s="34" t="inlineStr">
        <is>
          <t>Apply Here</t>
        </is>
      </c>
      <c r="K363" s="35" t="inlineStr"/>
      <c r="L363" s="35" t="inlineStr"/>
      <c r="M363" s="35" t="inlineStr">
        <is>
          <t>Pending</t>
        </is>
      </c>
      <c r="N363" s="36" t="inlineStr"/>
      <c r="O363" s="35" t="inlineStr"/>
    </row>
    <row r="364" ht="16" customHeight="1">
      <c r="A364" s="28" t="inlineStr">
        <is>
          <t>862bc6b192d4</t>
        </is>
      </c>
      <c r="B364" s="28" t="inlineStr">
        <is>
          <t>02/03/2026</t>
        </is>
      </c>
      <c r="C364" s="28" t="inlineStr">
        <is>
          <t>Network Engineer - Trading - £100,000-£180,000 + Bonus</t>
        </is>
      </c>
      <c r="D364" s="28" t="inlineStr">
        <is>
          <t>Jobs via eFinancialCareers</t>
        </is>
      </c>
      <c r="E364" s="28" t="inlineStr">
        <is>
          <t>London, England, United Kingdom</t>
        </is>
      </c>
      <c r="F364" s="28" t="inlineStr">
        <is>
          <t>Not specified</t>
        </is>
      </c>
      <c r="G364" s="28" t="inlineStr">
        <is>
          <t>LinkedIn</t>
        </is>
      </c>
      <c r="H364" s="29" t="inlineStr">
        <is>
          <t>CONFIRMED</t>
        </is>
      </c>
      <c r="I364" s="28" t="n">
        <v>35</v>
      </c>
      <c r="J364" s="30" t="inlineStr">
        <is>
          <t>Apply Here</t>
        </is>
      </c>
      <c r="K364" s="31" t="inlineStr"/>
      <c r="L364" s="31" t="inlineStr"/>
      <c r="M364" s="31" t="inlineStr">
        <is>
          <t>Pending</t>
        </is>
      </c>
      <c r="N364" s="32" t="inlineStr"/>
      <c r="O364" s="31" t="inlineStr"/>
    </row>
    <row r="365" ht="16" customHeight="1">
      <c r="A365" s="33" t="inlineStr">
        <is>
          <t>af86f2e091fa</t>
        </is>
      </c>
      <c r="B365" s="33" t="inlineStr">
        <is>
          <t>02/03/2026</t>
        </is>
      </c>
      <c r="C365" s="33" t="inlineStr">
        <is>
          <t>Field Manager</t>
        </is>
      </c>
      <c r="D365" s="33" t="inlineStr">
        <is>
          <t>Lanes Group</t>
        </is>
      </c>
      <c r="E365" s="33" t="inlineStr">
        <is>
          <t>Widford, England, United Kingdom</t>
        </is>
      </c>
      <c r="F365" s="33" t="inlineStr">
        <is>
          <t>Not specified</t>
        </is>
      </c>
      <c r="G365" s="33" t="inlineStr">
        <is>
          <t>LinkedIn</t>
        </is>
      </c>
      <c r="H365" s="29" t="inlineStr">
        <is>
          <t>CONFIRMED</t>
        </is>
      </c>
      <c r="I365" s="33" t="n">
        <v>35</v>
      </c>
      <c r="J365" s="34" t="inlineStr">
        <is>
          <t>Apply Here</t>
        </is>
      </c>
      <c r="K365" s="35" t="inlineStr"/>
      <c r="L365" s="35" t="inlineStr"/>
      <c r="M365" s="35" t="inlineStr">
        <is>
          <t>Pending</t>
        </is>
      </c>
      <c r="N365" s="36" t="inlineStr"/>
      <c r="O365" s="35" t="inlineStr"/>
    </row>
    <row r="366" ht="16" customHeight="1">
      <c r="A366" s="28" t="inlineStr">
        <is>
          <t>535964c714ff</t>
        </is>
      </c>
      <c r="B366" s="28" t="inlineStr">
        <is>
          <t>02/03/2026</t>
        </is>
      </c>
      <c r="C366" s="28" t="inlineStr">
        <is>
          <t>Design Manager - Water Sector</t>
        </is>
      </c>
      <c r="D366" s="28" t="inlineStr">
        <is>
          <t>Stantec</t>
        </is>
      </c>
      <c r="E366" s="28" t="inlineStr">
        <is>
          <t>London, England, United Kingdom</t>
        </is>
      </c>
      <c r="F366" s="28" t="inlineStr">
        <is>
          <t>Not specified</t>
        </is>
      </c>
      <c r="G366" s="28" t="inlineStr">
        <is>
          <t>LinkedIn</t>
        </is>
      </c>
      <c r="H366" s="29" t="inlineStr">
        <is>
          <t>CONFIRMED</t>
        </is>
      </c>
      <c r="I366" s="28" t="n">
        <v>35</v>
      </c>
      <c r="J366" s="30" t="inlineStr">
        <is>
          <t>Apply Here</t>
        </is>
      </c>
      <c r="K366" s="31" t="inlineStr"/>
      <c r="L366" s="31" t="inlineStr"/>
      <c r="M366" s="31" t="inlineStr">
        <is>
          <t>Pending</t>
        </is>
      </c>
      <c r="N366" s="32" t="inlineStr"/>
      <c r="O366" s="31" t="inlineStr"/>
    </row>
    <row r="367" ht="16" customHeight="1">
      <c r="A367" s="33" t="inlineStr">
        <is>
          <t>c43a5a9f6da8</t>
        </is>
      </c>
      <c r="B367" s="33" t="inlineStr">
        <is>
          <t>02/03/2026</t>
        </is>
      </c>
      <c r="C367" s="33" t="inlineStr">
        <is>
          <t>Senior Economics Consultant - Advisory</t>
        </is>
      </c>
      <c r="D367" s="33" t="inlineStr">
        <is>
          <t>AECOM</t>
        </is>
      </c>
      <c r="E367" s="33" t="inlineStr">
        <is>
          <t>London, England, United Kingdom</t>
        </is>
      </c>
      <c r="F367" s="33" t="inlineStr">
        <is>
          <t>Not specified</t>
        </is>
      </c>
      <c r="G367" s="33" t="inlineStr">
        <is>
          <t>LinkedIn</t>
        </is>
      </c>
      <c r="H367" s="29" t="inlineStr">
        <is>
          <t>CONFIRMED</t>
        </is>
      </c>
      <c r="I367" s="33" t="n">
        <v>35</v>
      </c>
      <c r="J367" s="34" t="inlineStr">
        <is>
          <t>Apply Here</t>
        </is>
      </c>
      <c r="K367" s="35" t="inlineStr"/>
      <c r="L367" s="35" t="inlineStr"/>
      <c r="M367" s="35" t="inlineStr">
        <is>
          <t>Pending</t>
        </is>
      </c>
      <c r="N367" s="36" t="inlineStr"/>
      <c r="O367" s="35" t="inlineStr"/>
    </row>
    <row r="368" ht="16" customHeight="1">
      <c r="A368" s="28" t="inlineStr">
        <is>
          <t>3486e6ec3ddf</t>
        </is>
      </c>
      <c r="B368" s="28" t="inlineStr">
        <is>
          <t>02/03/2026</t>
        </is>
      </c>
      <c r="C368" s="28" t="inlineStr">
        <is>
          <t>Supervisor</t>
        </is>
      </c>
      <c r="D368" s="28" t="inlineStr">
        <is>
          <t>VolkerWessels UK</t>
        </is>
      </c>
      <c r="E368" s="28" t="inlineStr">
        <is>
          <t>Brentwood, England, United Kingdom</t>
        </is>
      </c>
      <c r="F368" s="28" t="inlineStr">
        <is>
          <t>Not specified</t>
        </is>
      </c>
      <c r="G368" s="28" t="inlineStr">
        <is>
          <t>LinkedIn</t>
        </is>
      </c>
      <c r="H368" s="29" t="inlineStr">
        <is>
          <t>CONFIRMED</t>
        </is>
      </c>
      <c r="I368" s="28" t="n">
        <v>35</v>
      </c>
      <c r="J368" s="30" t="inlineStr">
        <is>
          <t>Apply Here</t>
        </is>
      </c>
      <c r="K368" s="31" t="inlineStr"/>
      <c r="L368" s="31" t="inlineStr"/>
      <c r="M368" s="31" t="inlineStr">
        <is>
          <t>Pending</t>
        </is>
      </c>
      <c r="N368" s="32" t="inlineStr"/>
      <c r="O368" s="31" t="inlineStr"/>
    </row>
    <row r="369" ht="16" customHeight="1">
      <c r="A369" s="33" t="inlineStr">
        <is>
          <t>6a08705e18d2</t>
        </is>
      </c>
      <c r="B369" s="33" t="inlineStr">
        <is>
          <t>02/03/2026</t>
        </is>
      </c>
      <c r="C369" s="33" t="inlineStr">
        <is>
          <t>Electrical/ EICA Engineer – UK Water/Wastewater – All Levels – Expression of Interest</t>
        </is>
      </c>
      <c r="D369" s="33" t="inlineStr">
        <is>
          <t>Egis Group</t>
        </is>
      </c>
      <c r="E369" s="33" t="inlineStr">
        <is>
          <t>London, UK</t>
        </is>
      </c>
      <c r="F369" s="33" t="inlineStr">
        <is>
          <t>£52,715 – £52,715</t>
        </is>
      </c>
      <c r="G369" s="33" t="inlineStr">
        <is>
          <t>Adzuna UK</t>
        </is>
      </c>
      <c r="H369" s="29" t="inlineStr">
        <is>
          <t>CONFIRMED</t>
        </is>
      </c>
      <c r="I369" s="33" t="n">
        <v>30</v>
      </c>
      <c r="J369" s="34" t="inlineStr">
        <is>
          <t>Apply Here</t>
        </is>
      </c>
      <c r="K369" s="35" t="inlineStr"/>
      <c r="L369" s="35" t="inlineStr"/>
      <c r="M369" s="35" t="inlineStr">
        <is>
          <t>Pending</t>
        </is>
      </c>
      <c r="N369" s="36" t="inlineStr"/>
      <c r="O369" s="35" t="inlineStr"/>
    </row>
    <row r="370" ht="16" customHeight="1">
      <c r="A370" s="28" t="inlineStr">
        <is>
          <t>95afd6422474</t>
        </is>
      </c>
      <c r="B370" s="28" t="inlineStr">
        <is>
          <t>02/03/2026</t>
        </is>
      </c>
      <c r="C370" s="28" t="inlineStr">
        <is>
          <t>Senior Process Design Engineer</t>
        </is>
      </c>
      <c r="D370" s="28" t="inlineStr">
        <is>
          <t>J Browne Construction Company Ltd</t>
        </is>
      </c>
      <c r="E370" s="28" t="inlineStr">
        <is>
          <t>Shendish, Hemel Hempstead</t>
        </is>
      </c>
      <c r="F370" s="28" t="inlineStr">
        <is>
          <t>£50,000 – £60,000</t>
        </is>
      </c>
      <c r="G370" s="28" t="inlineStr">
        <is>
          <t>Adzuna UK</t>
        </is>
      </c>
      <c r="H370" s="29" t="inlineStr">
        <is>
          <t>CONFIRMED</t>
        </is>
      </c>
      <c r="I370" s="28" t="n">
        <v>30</v>
      </c>
      <c r="J370" s="30" t="inlineStr">
        <is>
          <t>Apply Here</t>
        </is>
      </c>
      <c r="K370" s="31" t="inlineStr"/>
      <c r="L370" s="31" t="inlineStr"/>
      <c r="M370" s="31" t="inlineStr">
        <is>
          <t>Pending</t>
        </is>
      </c>
      <c r="N370" s="32" t="inlineStr"/>
      <c r="O370" s="31" t="inlineStr"/>
    </row>
    <row r="371" ht="16" customHeight="1">
      <c r="A371" s="33" t="inlineStr">
        <is>
          <t>dd0af96b5474</t>
        </is>
      </c>
      <c r="B371" s="33" t="inlineStr">
        <is>
          <t>02/03/2026</t>
        </is>
      </c>
      <c r="C371" s="33" t="inlineStr">
        <is>
          <t>Civil Design Engineer</t>
        </is>
      </c>
      <c r="D371" s="33" t="inlineStr">
        <is>
          <t>J Browne Construction Company Ltd</t>
        </is>
      </c>
      <c r="E371" s="33" t="inlineStr">
        <is>
          <t>Shendish, Hemel Hempstead</t>
        </is>
      </c>
      <c r="F371" s="33" t="inlineStr">
        <is>
          <t>£40,000 – £60,000</t>
        </is>
      </c>
      <c r="G371" s="33" t="inlineStr">
        <is>
          <t>Adzuna UK</t>
        </is>
      </c>
      <c r="H371" s="29" t="inlineStr">
        <is>
          <t>CONFIRMED</t>
        </is>
      </c>
      <c r="I371" s="33" t="n">
        <v>30</v>
      </c>
      <c r="J371" s="34" t="inlineStr">
        <is>
          <t>Apply Here</t>
        </is>
      </c>
      <c r="K371" s="35" t="inlineStr"/>
      <c r="L371" s="35" t="inlineStr"/>
      <c r="M371" s="35" t="inlineStr">
        <is>
          <t>Pending</t>
        </is>
      </c>
      <c r="N371" s="36" t="inlineStr"/>
      <c r="O371" s="35" t="inlineStr"/>
    </row>
    <row r="372" ht="16" customHeight="1">
      <c r="A372" s="28" t="inlineStr">
        <is>
          <t>6fc94359cdd7</t>
        </is>
      </c>
      <c r="B372" s="28" t="inlineStr">
        <is>
          <t>02/03/2026</t>
        </is>
      </c>
      <c r="C372" s="28" t="inlineStr">
        <is>
          <t>Civil Design Engineer</t>
        </is>
      </c>
      <c r="D372" s="28" t="inlineStr">
        <is>
          <t>Browne Construction</t>
        </is>
      </c>
      <c r="E372" s="28" t="inlineStr">
        <is>
          <t>Shendish, Hemel Hempstead</t>
        </is>
      </c>
      <c r="F372" s="28" t="inlineStr">
        <is>
          <t>£40,000 – £60,000</t>
        </is>
      </c>
      <c r="G372" s="28" t="inlineStr">
        <is>
          <t>Adzuna UK</t>
        </is>
      </c>
      <c r="H372" s="29" t="inlineStr">
        <is>
          <t>CONFIRMED</t>
        </is>
      </c>
      <c r="I372" s="28" t="n">
        <v>30</v>
      </c>
      <c r="J372" s="30" t="inlineStr">
        <is>
          <t>Apply Here</t>
        </is>
      </c>
      <c r="K372" s="31" t="inlineStr"/>
      <c r="L372" s="31" t="inlineStr"/>
      <c r="M372" s="31" t="inlineStr">
        <is>
          <t>Pending</t>
        </is>
      </c>
      <c r="N372" s="32" t="inlineStr"/>
      <c r="O372" s="31" t="inlineStr"/>
    </row>
    <row r="373" ht="16" customHeight="1">
      <c r="A373" s="33" t="inlineStr">
        <is>
          <t>7b870fae6592</t>
        </is>
      </c>
      <c r="B373" s="33" t="inlineStr">
        <is>
          <t>02/03/2026</t>
        </is>
      </c>
      <c r="C373" s="33" t="inlineStr">
        <is>
          <t>Project Engineer</t>
        </is>
      </c>
      <c r="D373" s="33" t="inlineStr">
        <is>
          <t>Fortis Recruitment Solutions</t>
        </is>
      </c>
      <c r="E373" s="33" t="inlineStr">
        <is>
          <t>Artington, Guildford</t>
        </is>
      </c>
      <c r="F373" s="33" t="inlineStr">
        <is>
          <t>£45,000 – £70,000</t>
        </is>
      </c>
      <c r="G373" s="33" t="inlineStr">
        <is>
          <t>Adzuna UK</t>
        </is>
      </c>
      <c r="H373" s="29" t="inlineStr">
        <is>
          <t>CONFIRMED</t>
        </is>
      </c>
      <c r="I373" s="33" t="n">
        <v>30</v>
      </c>
      <c r="J373" s="34" t="inlineStr">
        <is>
          <t>Apply Here</t>
        </is>
      </c>
      <c r="K373" s="35" t="inlineStr"/>
      <c r="L373" s="35" t="inlineStr"/>
      <c r="M373" s="35" t="inlineStr">
        <is>
          <t>Pending</t>
        </is>
      </c>
      <c r="N373" s="36" t="inlineStr"/>
      <c r="O373" s="35" t="inlineStr"/>
    </row>
    <row r="374" ht="16" customHeight="1">
      <c r="A374" s="28" t="inlineStr">
        <is>
          <t>81af3cfdec0c</t>
        </is>
      </c>
      <c r="B374" s="28" t="inlineStr">
        <is>
          <t>02/03/2026</t>
        </is>
      </c>
      <c r="C374" s="28" t="inlineStr">
        <is>
          <t>Civil Design Engineer</t>
        </is>
      </c>
      <c r="D374" s="28" t="inlineStr">
        <is>
          <t>Fortis Recruitment Solutions</t>
        </is>
      </c>
      <c r="E374" s="28" t="inlineStr">
        <is>
          <t>Artington, Guildford</t>
        </is>
      </c>
      <c r="F374" s="28" t="inlineStr">
        <is>
          <t>£45,000 – £60,000</t>
        </is>
      </c>
      <c r="G374" s="28" t="inlineStr">
        <is>
          <t>Adzuna UK</t>
        </is>
      </c>
      <c r="H374" s="29" t="inlineStr">
        <is>
          <t>CONFIRMED</t>
        </is>
      </c>
      <c r="I374" s="28" t="n">
        <v>30</v>
      </c>
      <c r="J374" s="30" t="inlineStr">
        <is>
          <t>Apply Here</t>
        </is>
      </c>
      <c r="K374" s="31" t="inlineStr"/>
      <c r="L374" s="31" t="inlineStr"/>
      <c r="M374" s="31" t="inlineStr">
        <is>
          <t>Pending</t>
        </is>
      </c>
      <c r="N374" s="32" t="inlineStr"/>
      <c r="O374" s="31" t="inlineStr"/>
    </row>
    <row r="375" ht="16" customHeight="1">
      <c r="A375" s="33" t="inlineStr">
        <is>
          <t>f5a5b0b0aa79</t>
        </is>
      </c>
      <c r="B375" s="33" t="inlineStr">
        <is>
          <t>02/03/2026</t>
        </is>
      </c>
      <c r="C375" s="33" t="inlineStr">
        <is>
          <t>Water Hygiene Engineer</t>
        </is>
      </c>
      <c r="D375" s="33" t="inlineStr">
        <is>
          <t>Example Recruitment</t>
        </is>
      </c>
      <c r="E375" s="33" t="inlineStr">
        <is>
          <t>Farringdon, Central London</t>
        </is>
      </c>
      <c r="F375" s="33" t="inlineStr">
        <is>
          <t>£30,000 – £35,000</t>
        </is>
      </c>
      <c r="G375" s="33" t="inlineStr">
        <is>
          <t>Adzuna UK</t>
        </is>
      </c>
      <c r="H375" s="29" t="inlineStr">
        <is>
          <t>CONFIRMED</t>
        </is>
      </c>
      <c r="I375" s="33" t="n">
        <v>30</v>
      </c>
      <c r="J375" s="34" t="inlineStr">
        <is>
          <t>Apply Here</t>
        </is>
      </c>
      <c r="K375" s="35" t="inlineStr"/>
      <c r="L375" s="35" t="inlineStr"/>
      <c r="M375" s="35" t="inlineStr">
        <is>
          <t>Pending</t>
        </is>
      </c>
      <c r="N375" s="36" t="inlineStr"/>
      <c r="O375" s="35" t="inlineStr"/>
    </row>
    <row r="376" ht="16" customHeight="1">
      <c r="A376" s="28" t="inlineStr">
        <is>
          <t>3f070f26b47e</t>
        </is>
      </c>
      <c r="B376" s="28" t="inlineStr">
        <is>
          <t>02/03/2026</t>
        </is>
      </c>
      <c r="C376" s="28" t="inlineStr">
        <is>
          <t>Project engineer</t>
        </is>
      </c>
      <c r="D376" s="28" t="inlineStr">
        <is>
          <t>Dc Solutions Services</t>
        </is>
      </c>
      <c r="E376" s="28" t="inlineStr">
        <is>
          <t>London, UK</t>
        </is>
      </c>
      <c r="F376" s="28" t="inlineStr">
        <is>
          <t>£40,443 – £40,443</t>
        </is>
      </c>
      <c r="G376" s="28" t="inlineStr">
        <is>
          <t>Adzuna UK</t>
        </is>
      </c>
      <c r="H376" s="29" t="inlineStr">
        <is>
          <t>CONFIRMED</t>
        </is>
      </c>
      <c r="I376" s="28" t="n">
        <v>30</v>
      </c>
      <c r="J376" s="30" t="inlineStr">
        <is>
          <t>Apply Here</t>
        </is>
      </c>
      <c r="K376" s="31" t="inlineStr"/>
      <c r="L376" s="31" t="inlineStr"/>
      <c r="M376" s="31" t="inlineStr">
        <is>
          <t>Pending</t>
        </is>
      </c>
      <c r="N376" s="32" t="inlineStr"/>
      <c r="O376" s="31" t="inlineStr"/>
    </row>
    <row r="377" ht="16" customHeight="1">
      <c r="A377" s="33" t="inlineStr">
        <is>
          <t>aba4a5afc728</t>
        </is>
      </c>
      <c r="B377" s="33" t="inlineStr">
        <is>
          <t>02/03/2026</t>
        </is>
      </c>
      <c r="C377" s="33" t="inlineStr">
        <is>
          <t>Hydrologist / Water Resource Engineer (Mining)</t>
        </is>
      </c>
      <c r="D377" s="33" t="inlineStr">
        <is>
          <t>WSP</t>
        </is>
      </c>
      <c r="E377" s="33" t="inlineStr">
        <is>
          <t>Aldwych, Central London</t>
        </is>
      </c>
      <c r="F377" s="33" t="inlineStr">
        <is>
          <t>£50,365 – £50,365</t>
        </is>
      </c>
      <c r="G377" s="33" t="inlineStr">
        <is>
          <t>Adzuna UK</t>
        </is>
      </c>
      <c r="H377" s="29" t="inlineStr">
        <is>
          <t>CONFIRMED</t>
        </is>
      </c>
      <c r="I377" s="33" t="n">
        <v>30</v>
      </c>
      <c r="J377" s="34" t="inlineStr">
        <is>
          <t>Apply Here</t>
        </is>
      </c>
      <c r="K377" s="35" t="inlineStr"/>
      <c r="L377" s="35" t="inlineStr"/>
      <c r="M377" s="35" t="inlineStr">
        <is>
          <t>Pending</t>
        </is>
      </c>
      <c r="N377" s="36" t="inlineStr"/>
      <c r="O377" s="35" t="inlineStr"/>
    </row>
    <row r="378" ht="16" customHeight="1">
      <c r="A378" s="28" t="inlineStr">
        <is>
          <t>1b088c04ed4b</t>
        </is>
      </c>
      <c r="B378" s="28" t="inlineStr">
        <is>
          <t>02/03/2026</t>
        </is>
      </c>
      <c r="C378" s="28" t="inlineStr">
        <is>
          <t>Hydraulic Modeller</t>
        </is>
      </c>
      <c r="D378" s="28" t="inlineStr">
        <is>
          <t>Carrington West</t>
        </is>
      </c>
      <c r="E378" s="28" t="inlineStr">
        <is>
          <t>Central London, London</t>
        </is>
      </c>
      <c r="F378" s="28" t="inlineStr">
        <is>
          <t>£40,000 – £45,000</t>
        </is>
      </c>
      <c r="G378" s="28" t="inlineStr">
        <is>
          <t>Adzuna UK</t>
        </is>
      </c>
      <c r="H378" s="38" t="inlineStr">
        <is>
          <t>UNKNOWN</t>
        </is>
      </c>
      <c r="I378" s="28" t="n">
        <v>110</v>
      </c>
      <c r="J378" s="30" t="inlineStr">
        <is>
          <t>Apply Here</t>
        </is>
      </c>
      <c r="K378" s="31" t="inlineStr"/>
      <c r="L378" s="31" t="inlineStr"/>
      <c r="M378" s="31" t="inlineStr">
        <is>
          <t>Pending</t>
        </is>
      </c>
      <c r="N378" s="32" t="inlineStr"/>
      <c r="O378" s="31" t="inlineStr"/>
    </row>
    <row r="379" ht="16" customHeight="1">
      <c r="A379" s="33" t="inlineStr">
        <is>
          <t>25bbb84083b1</t>
        </is>
      </c>
      <c r="B379" s="33" t="inlineStr">
        <is>
          <t>03/03/2026</t>
        </is>
      </c>
      <c r="C379" s="33" t="inlineStr">
        <is>
          <t>Water Networks Modeller</t>
        </is>
      </c>
      <c r="D379" s="33" t="inlineStr">
        <is>
          <t>Stantec</t>
        </is>
      </c>
      <c r="E379" s="33" t="inlineStr">
        <is>
          <t>London, England, United Kingdom</t>
        </is>
      </c>
      <c r="F379" s="33" t="inlineStr">
        <is>
          <t>Not specified</t>
        </is>
      </c>
      <c r="G379" s="33" t="inlineStr">
        <is>
          <t>LinkedIn</t>
        </is>
      </c>
      <c r="H379" s="29" t="inlineStr">
        <is>
          <t>CONFIRMED</t>
        </is>
      </c>
      <c r="I379" s="33" t="n">
        <v>50</v>
      </c>
      <c r="J379" s="34" t="inlineStr">
        <is>
          <t>Apply Here</t>
        </is>
      </c>
      <c r="K379" s="35" t="inlineStr"/>
      <c r="L379" s="35" t="inlineStr"/>
      <c r="M379" s="35" t="inlineStr">
        <is>
          <t>Pending</t>
        </is>
      </c>
      <c r="N379" s="36" t="inlineStr"/>
      <c r="O379" s="35" t="inlineStr"/>
    </row>
    <row r="380" ht="16" customHeight="1">
      <c r="A380" s="28" t="inlineStr">
        <is>
          <t>cb0182f28041</t>
        </is>
      </c>
      <c r="B380" s="28" t="inlineStr">
        <is>
          <t>08/03/2026</t>
        </is>
      </c>
      <c r="C380" s="28" t="inlineStr">
        <is>
          <t>Water Infrastructure Manager, AWS EMEA Energy &amp; Water Team</t>
        </is>
      </c>
      <c r="D380" s="28" t="inlineStr">
        <is>
          <t>Amazon Web Services (AWS)</t>
        </is>
      </c>
      <c r="E380" s="28" t="inlineStr">
        <is>
          <t>London, England, United Kingdom</t>
        </is>
      </c>
      <c r="F380" s="28" t="inlineStr">
        <is>
          <t>Not specified</t>
        </is>
      </c>
      <c r="G380" s="28" t="inlineStr">
        <is>
          <t>LinkedIn</t>
        </is>
      </c>
      <c r="H380" s="29" t="inlineStr">
        <is>
          <t>CONFIRMED</t>
        </is>
      </c>
      <c r="I380" s="28" t="n">
        <v>65</v>
      </c>
      <c r="J380" s="30" t="inlineStr">
        <is>
          <t>Apply Here</t>
        </is>
      </c>
      <c r="K380" s="31" t="inlineStr"/>
      <c r="L380" s="31" t="inlineStr"/>
      <c r="M380" s="31" t="inlineStr">
        <is>
          <t>Pending</t>
        </is>
      </c>
      <c r="N380" s="32" t="inlineStr"/>
      <c r="O380" s="31" t="inlineStr"/>
    </row>
    <row r="381" ht="16" customHeight="1">
      <c r="A381" s="33" t="inlineStr">
        <is>
          <t>5d3f407abe23</t>
        </is>
      </c>
      <c r="B381" s="33" t="inlineStr">
        <is>
          <t>09/03/2026</t>
        </is>
      </c>
      <c r="C381" s="33" t="inlineStr">
        <is>
          <t>Clean Water (Hydraulic) Modellers</t>
        </is>
      </c>
      <c r="D381" s="33" t="inlineStr">
        <is>
          <t>RPS</t>
        </is>
      </c>
      <c r="E381" s="33" t="inlineStr">
        <is>
          <t>Glasgow, Scotland, United Kingdom</t>
        </is>
      </c>
      <c r="F381" s="33" t="inlineStr">
        <is>
          <t>Not specified</t>
        </is>
      </c>
      <c r="G381" s="33" t="inlineStr">
        <is>
          <t>LinkedIn</t>
        </is>
      </c>
      <c r="H381" s="29" t="inlineStr">
        <is>
          <t>CONFIRMED</t>
        </is>
      </c>
      <c r="I381" s="33" t="n">
        <v>65</v>
      </c>
      <c r="J381" s="34" t="inlineStr">
        <is>
          <t>Apply Here</t>
        </is>
      </c>
      <c r="K381" s="35" t="inlineStr"/>
      <c r="L381" s="35" t="inlineStr"/>
      <c r="M381" s="35" t="inlineStr">
        <is>
          <t>Pending</t>
        </is>
      </c>
      <c r="N381" s="36" t="inlineStr"/>
      <c r="O381" s="35" t="inlineStr"/>
    </row>
    <row r="382" ht="16" customHeight="1">
      <c r="A382" s="28" t="inlineStr">
        <is>
          <t>e706b7e3c84d</t>
        </is>
      </c>
      <c r="B382" s="28" t="inlineStr">
        <is>
          <t>11/03/2026</t>
        </is>
      </c>
      <c r="C382" s="28" t="inlineStr">
        <is>
          <t>Water Network Engineer</t>
        </is>
      </c>
      <c r="D382" s="28" t="inlineStr">
        <is>
          <t>Celnor Group</t>
        </is>
      </c>
      <c r="E382" s="28" t="inlineStr">
        <is>
          <t>West Malling, England, United Kingdom</t>
        </is>
      </c>
      <c r="F382" s="28" t="inlineStr">
        <is>
          <t>Not specified</t>
        </is>
      </c>
      <c r="G382" s="28" t="inlineStr">
        <is>
          <t>LinkedIn</t>
        </is>
      </c>
      <c r="H382" s="29" t="inlineStr">
        <is>
          <t>CONFIRMED</t>
        </is>
      </c>
      <c r="I382" s="28" t="n">
        <v>90</v>
      </c>
      <c r="J382" s="30" t="inlineStr">
        <is>
          <t>Apply Here</t>
        </is>
      </c>
      <c r="K382" s="31" t="inlineStr"/>
      <c r="L382" s="31" t="inlineStr"/>
      <c r="M382" s="31" t="inlineStr">
        <is>
          <t>Pending</t>
        </is>
      </c>
      <c r="N382" s="32" t="inlineStr"/>
      <c r="O382" s="31" t="inlineStr"/>
    </row>
    <row r="383" ht="16" customHeight="1">
      <c r="A383" s="33" t="inlineStr">
        <is>
          <t>29ad73838a39</t>
        </is>
      </c>
      <c r="B383" s="33" t="inlineStr">
        <is>
          <t>12/03/2026</t>
        </is>
      </c>
      <c r="C383" s="33" t="inlineStr">
        <is>
          <t>Civil Design Engineer - Water Sector</t>
        </is>
      </c>
      <c r="D383" s="33" t="inlineStr">
        <is>
          <t>Alexander Associates Limited</t>
        </is>
      </c>
      <c r="E383" s="33" t="inlineStr">
        <is>
          <t>London, UK</t>
        </is>
      </c>
      <c r="F383" s="33" t="inlineStr">
        <is>
          <t>£49,656 – £49,656</t>
        </is>
      </c>
      <c r="G383" s="33" t="inlineStr">
        <is>
          <t>Adzuna UK</t>
        </is>
      </c>
      <c r="H383" s="29" t="inlineStr">
        <is>
          <t>CONFIRMED</t>
        </is>
      </c>
      <c r="I383" s="33" t="n">
        <v>70</v>
      </c>
      <c r="J383" s="34" t="inlineStr">
        <is>
          <t>Apply Here</t>
        </is>
      </c>
      <c r="K383" s="35" t="inlineStr"/>
      <c r="L383" s="35" t="inlineStr"/>
      <c r="M383" s="35" t="inlineStr">
        <is>
          <t>Pending</t>
        </is>
      </c>
      <c r="N383" s="36" t="inlineStr"/>
      <c r="O383" s="35" t="inlineStr"/>
    </row>
    <row r="384" ht="16" customHeight="1">
      <c r="A384" s="28" t="inlineStr">
        <is>
          <t>a21a5a306168</t>
        </is>
      </c>
      <c r="B384" s="28" t="inlineStr">
        <is>
          <t>12/03/2026</t>
        </is>
      </c>
      <c r="C384" s="28" t="inlineStr">
        <is>
          <t>Civil Design Engineer - Water Sector</t>
        </is>
      </c>
      <c r="D384" s="28" t="inlineStr">
        <is>
          <t>Alexander Associates</t>
        </is>
      </c>
      <c r="E384" s="28" t="inlineStr">
        <is>
          <t>Farringdon, Central London</t>
        </is>
      </c>
      <c r="F384" s="28" t="inlineStr">
        <is>
          <t>£48,620 – £48,620</t>
        </is>
      </c>
      <c r="G384" s="28" t="inlineStr">
        <is>
          <t>Adzuna UK</t>
        </is>
      </c>
      <c r="H384" s="29" t="inlineStr">
        <is>
          <t>CONFIRMED</t>
        </is>
      </c>
      <c r="I384" s="28" t="n">
        <v>70</v>
      </c>
      <c r="J384" s="30" t="inlineStr">
        <is>
          <t>Apply Here</t>
        </is>
      </c>
      <c r="K384" s="31" t="inlineStr"/>
      <c r="L384" s="31" t="inlineStr"/>
      <c r="M384" s="31" t="inlineStr">
        <is>
          <t>Pending</t>
        </is>
      </c>
      <c r="N384" s="32" t="inlineStr"/>
      <c r="O384" s="31" t="inlineStr"/>
    </row>
    <row r="385" ht="16" customHeight="1">
      <c r="A385" s="33" t="inlineStr">
        <is>
          <t>add811ba595c</t>
        </is>
      </c>
      <c r="B385" s="33" t="inlineStr">
        <is>
          <t>13/03/2026</t>
        </is>
      </c>
      <c r="C385" s="33" t="inlineStr">
        <is>
          <t>Civil Design Engineer - Water Sector</t>
        </is>
      </c>
      <c r="D385" s="33" t="inlineStr">
        <is>
          <t>Alexander Associates</t>
        </is>
      </c>
      <c r="E385" s="33" t="inlineStr">
        <is>
          <t>London, England, United Kingdom</t>
        </is>
      </c>
      <c r="F385" s="33" t="inlineStr">
        <is>
          <t>Not specified</t>
        </is>
      </c>
      <c r="G385" s="33" t="inlineStr">
        <is>
          <t>LinkedIn</t>
        </is>
      </c>
      <c r="H385" s="29" t="inlineStr">
        <is>
          <t>CONFIRMED</t>
        </is>
      </c>
      <c r="I385" s="33" t="n">
        <v>50</v>
      </c>
      <c r="J385" s="34" t="inlineStr">
        <is>
          <t>Apply Here</t>
        </is>
      </c>
      <c r="K385" s="35" t="inlineStr"/>
      <c r="L385" s="35" t="inlineStr"/>
      <c r="M385" s="35" t="inlineStr">
        <is>
          <t>Pending</t>
        </is>
      </c>
      <c r="N385" s="36" t="inlineStr"/>
      <c r="O385" s="35" t="inlineStr"/>
    </row>
    <row r="386" ht="16" customHeight="1">
      <c r="A386" s="28" t="inlineStr">
        <is>
          <t>b26155ff061a</t>
        </is>
      </c>
      <c r="B386" s="28" t="inlineStr">
        <is>
          <t>15/03/2026</t>
        </is>
      </c>
      <c r="C386" s="28" t="inlineStr">
        <is>
          <t>Hydraulic Modeller</t>
        </is>
      </c>
      <c r="D386" s="28" t="inlineStr">
        <is>
          <t>Flux Consulting</t>
        </is>
      </c>
      <c r="E386" s="28" t="inlineStr">
        <is>
          <t>London, UK</t>
        </is>
      </c>
      <c r="F386" s="28" t="inlineStr">
        <is>
          <t>£40,000 – £50,000</t>
        </is>
      </c>
      <c r="G386" s="28" t="inlineStr">
        <is>
          <t>Adzuna UK</t>
        </is>
      </c>
      <c r="H386" s="29" t="inlineStr">
        <is>
          <t>CONFIRMED</t>
        </is>
      </c>
      <c r="I386" s="28" t="n">
        <v>110</v>
      </c>
      <c r="J386" s="30" t="inlineStr">
        <is>
          <t>Apply Here</t>
        </is>
      </c>
      <c r="K386" s="31" t="inlineStr"/>
      <c r="L386" s="31" t="inlineStr"/>
      <c r="M386" s="31" t="inlineStr">
        <is>
          <t>Pending</t>
        </is>
      </c>
      <c r="N386" s="32" t="inlineStr"/>
      <c r="O386" s="31" t="inlineStr"/>
    </row>
    <row r="387" ht="16" customHeight="1">
      <c r="A387" s="33" t="inlineStr">
        <is>
          <t>fa5433f34389</t>
        </is>
      </c>
      <c r="B387" s="33" t="inlineStr">
        <is>
          <t>18/03/2026</t>
        </is>
      </c>
      <c r="C387" s="33" t="inlineStr">
        <is>
          <t>Outside IR35 Contract | Civil Design Engineer | Water Sector</t>
        </is>
      </c>
      <c r="D387" s="33" t="inlineStr">
        <is>
          <t>Alexander Associates Technical Recruitment</t>
        </is>
      </c>
      <c r="E387" s="33" t="inlineStr">
        <is>
          <t>Chatham, England, United Kingdom</t>
        </is>
      </c>
      <c r="F387" s="33" t="inlineStr">
        <is>
          <t>Not specified</t>
        </is>
      </c>
      <c r="G387" s="33" t="inlineStr">
        <is>
          <t>LinkedIn</t>
        </is>
      </c>
      <c r="H387" s="29" t="inlineStr">
        <is>
          <t>CONFIRMED</t>
        </is>
      </c>
      <c r="I387" s="33" t="n">
        <v>50</v>
      </c>
      <c r="J387" s="34" t="inlineStr">
        <is>
          <t>Apply Here</t>
        </is>
      </c>
      <c r="K387" s="35" t="inlineStr"/>
      <c r="L387" s="35" t="inlineStr"/>
      <c r="M387" s="35" t="inlineStr">
        <is>
          <t>Pending</t>
        </is>
      </c>
      <c r="N387" s="36" t="inlineStr"/>
      <c r="O387" s="35" t="inlineStr"/>
    </row>
    <row r="388" ht="16" customHeight="1">
      <c r="A388" s="28" t="inlineStr">
        <is>
          <t>4343ece95781</t>
        </is>
      </c>
      <c r="B388" s="28" t="inlineStr">
        <is>
          <t>21/03/2026</t>
        </is>
      </c>
      <c r="C388" s="28" t="inlineStr">
        <is>
          <t>Water Networks Modeller</t>
        </is>
      </c>
      <c r="D388" s="28" t="inlineStr">
        <is>
          <t>Stantec</t>
        </is>
      </c>
      <c r="E388" s="28" t="inlineStr">
        <is>
          <t>London, UK</t>
        </is>
      </c>
      <c r="F388" s="28" t="inlineStr">
        <is>
          <t>£50,479 – £50,479</t>
        </is>
      </c>
      <c r="G388" s="28" t="inlineStr">
        <is>
          <t>Adzuna UK</t>
        </is>
      </c>
      <c r="H388" s="29" t="inlineStr">
        <is>
          <t>CONFIRMED</t>
        </is>
      </c>
      <c r="I388" s="28" t="n">
        <v>70</v>
      </c>
      <c r="J388" s="30" t="inlineStr">
        <is>
          <t>Apply Here</t>
        </is>
      </c>
      <c r="K388" s="31" t="inlineStr"/>
      <c r="L388" s="31" t="inlineStr"/>
      <c r="M388" s="31" t="inlineStr">
        <is>
          <t>Pending</t>
        </is>
      </c>
      <c r="N388" s="32" t="inlineStr"/>
      <c r="O388" s="31" t="inlineStr"/>
    </row>
    <row r="389" ht="16" customHeight="1">
      <c r="A389" s="33" t="inlineStr">
        <is>
          <t>609d6bb95a56</t>
        </is>
      </c>
      <c r="B389" s="33" t="inlineStr">
        <is>
          <t>21/03/2026</t>
        </is>
      </c>
      <c r="C389" s="33" t="inlineStr">
        <is>
          <t>Water Networks Modeller</t>
        </is>
      </c>
      <c r="D389" s="33" t="inlineStr">
        <is>
          <t>Stantec</t>
        </is>
      </c>
      <c r="E389" s="33" t="inlineStr">
        <is>
          <t>High Wycombe, Buckinghamshire</t>
        </is>
      </c>
      <c r="F389" s="33" t="inlineStr">
        <is>
          <t>£49,094 – £49,094</t>
        </is>
      </c>
      <c r="G389" s="33" t="inlineStr">
        <is>
          <t>Adzuna UK</t>
        </is>
      </c>
      <c r="H389" s="29" t="inlineStr">
        <is>
          <t>CONFIRMED</t>
        </is>
      </c>
      <c r="I389" s="33" t="n">
        <v>70</v>
      </c>
      <c r="J389" s="34" t="inlineStr">
        <is>
          <t>Apply Here</t>
        </is>
      </c>
      <c r="K389" s="35" t="inlineStr"/>
      <c r="L389" s="35" t="inlineStr"/>
      <c r="M389" s="35" t="inlineStr">
        <is>
          <t>Pending</t>
        </is>
      </c>
      <c r="N389" s="36" t="inlineStr"/>
      <c r="O389" s="35" t="inlineStr"/>
    </row>
    <row r="390" ht="16" customHeight="1">
      <c r="A390" s="28" t="inlineStr">
        <is>
          <t>5601fd256c97</t>
        </is>
      </c>
      <c r="B390" s="28" t="inlineStr">
        <is>
          <t>22/03/2026</t>
        </is>
      </c>
      <c r="C390" s="28" t="inlineStr">
        <is>
          <t>Civil Design Engineer - Water Sector</t>
        </is>
      </c>
      <c r="D390" s="28" t="inlineStr">
        <is>
          <t>Alexander Associates</t>
        </is>
      </c>
      <c r="E390" s="28" t="inlineStr">
        <is>
          <t>London, England, United Kingdom</t>
        </is>
      </c>
      <c r="F390" s="28" t="inlineStr">
        <is>
          <t>Not specified</t>
        </is>
      </c>
      <c r="G390" s="28" t="inlineStr">
        <is>
          <t>LinkedIn</t>
        </is>
      </c>
      <c r="H390" s="29" t="inlineStr">
        <is>
          <t>CONFIRMED</t>
        </is>
      </c>
      <c r="I390" s="28" t="n">
        <v>50</v>
      </c>
      <c r="J390" s="30" t="inlineStr">
        <is>
          <t>Apply Here</t>
        </is>
      </c>
      <c r="K390" s="31" t="inlineStr"/>
      <c r="L390" s="31" t="inlineStr"/>
      <c r="M390" s="31" t="inlineStr">
        <is>
          <t>Pending</t>
        </is>
      </c>
      <c r="N390" s="32" t="inlineStr"/>
      <c r="O390" s="31" t="inlineStr"/>
    </row>
    <row r="391" ht="16" customHeight="1">
      <c r="A391" s="33" t="inlineStr">
        <is>
          <t>4caa693928dc</t>
        </is>
      </c>
      <c r="B391" s="33" t="inlineStr">
        <is>
          <t>22/03/2026</t>
        </is>
      </c>
      <c r="C391" s="33" t="inlineStr">
        <is>
          <t>Civil Engineer (Urban Drainage / Wastewater Networks)</t>
        </is>
      </c>
      <c r="D391" s="33" t="inlineStr">
        <is>
          <t>Stantec</t>
        </is>
      </c>
      <c r="E391" s="33" t="inlineStr">
        <is>
          <t>Warrington, England, United Kingdom</t>
        </is>
      </c>
      <c r="F391" s="33" t="inlineStr">
        <is>
          <t>Not specified</t>
        </is>
      </c>
      <c r="G391" s="33" t="inlineStr">
        <is>
          <t>LinkedIn</t>
        </is>
      </c>
      <c r="H391" s="29" t="inlineStr">
        <is>
          <t>CONFIRMED</t>
        </is>
      </c>
      <c r="I391" s="33" t="n">
        <v>50</v>
      </c>
      <c r="J391" s="34" t="inlineStr">
        <is>
          <t>Apply Here</t>
        </is>
      </c>
      <c r="K391" s="35" t="inlineStr"/>
      <c r="L391" s="35" t="inlineStr"/>
      <c r="M391" s="35" t="inlineStr">
        <is>
          <t>Pending</t>
        </is>
      </c>
      <c r="N391" s="36" t="inlineStr"/>
      <c r="O391" s="35" t="inlineStr"/>
    </row>
    <row r="392" ht="16" customHeight="1">
      <c r="A392" s="28" t="inlineStr">
        <is>
          <t>760c44d2a13b</t>
        </is>
      </c>
      <c r="B392" s="28" t="inlineStr">
        <is>
          <t>25/03/2026</t>
        </is>
      </c>
      <c r="C392" s="28" t="inlineStr">
        <is>
          <t>Hydraulic Design Engineer</t>
        </is>
      </c>
      <c r="D392" s="28" t="inlineStr">
        <is>
          <t>Extension Recruitment Ltd</t>
        </is>
      </c>
      <c r="E392" s="28" t="inlineStr">
        <is>
          <t>Newcastle Upon Tyne, England, United Kingdom</t>
        </is>
      </c>
      <c r="F392" s="28" t="inlineStr">
        <is>
          <t>Not specified</t>
        </is>
      </c>
      <c r="G392" s="28" t="inlineStr">
        <is>
          <t>LinkedIn</t>
        </is>
      </c>
      <c r="H392" s="29" t="inlineStr">
        <is>
          <t>CONFIRMED</t>
        </is>
      </c>
      <c r="I392" s="28" t="n">
        <v>90</v>
      </c>
      <c r="J392" s="30" t="inlineStr">
        <is>
          <t>Apply Here</t>
        </is>
      </c>
      <c r="K392" s="31" t="inlineStr"/>
      <c r="L392" s="31" t="inlineStr"/>
      <c r="M392" s="31" t="inlineStr">
        <is>
          <t>Pending</t>
        </is>
      </c>
      <c r="N392" s="32" t="inlineStr"/>
      <c r="O392" s="31" t="inlineStr"/>
    </row>
    <row r="393" ht="16" customHeight="1">
      <c r="A393" s="33" t="inlineStr">
        <is>
          <t>468de08a8d3e</t>
        </is>
      </c>
      <c r="B393" s="33" t="inlineStr">
        <is>
          <t>26/03/2026</t>
        </is>
      </c>
      <c r="C393" s="33" t="inlineStr">
        <is>
          <t>Wastewater Hydraulic Modeller</t>
        </is>
      </c>
      <c r="D393" s="33" t="inlineStr">
        <is>
          <t>Thames Water</t>
        </is>
      </c>
      <c r="E393" s="33" t="inlineStr">
        <is>
          <t>Reading, Berkshire</t>
        </is>
      </c>
      <c r="F393" s="33" t="inlineStr">
        <is>
          <t>£45,940 – £68,000</t>
        </is>
      </c>
      <c r="G393" s="33" t="inlineStr">
        <is>
          <t>Adzuna UK</t>
        </is>
      </c>
      <c r="H393" s="29" t="inlineStr">
        <is>
          <t>CONFIRMED</t>
        </is>
      </c>
      <c r="I393" s="33" t="n">
        <v>110</v>
      </c>
      <c r="J393" s="34" t="inlineStr">
        <is>
          <t>Apply Here</t>
        </is>
      </c>
      <c r="K393" s="35" t="inlineStr"/>
      <c r="L393" s="35" t="inlineStr"/>
      <c r="M393" s="35" t="inlineStr">
        <is>
          <t>Pending</t>
        </is>
      </c>
      <c r="N393" s="36" t="inlineStr"/>
      <c r="O393" s="35" t="inlineStr"/>
    </row>
    <row r="394" ht="16" customHeight="1">
      <c r="A394" s="28" t="inlineStr">
        <is>
          <t>d11ffe09f6f7</t>
        </is>
      </c>
      <c r="B394" s="28" t="inlineStr">
        <is>
          <t>26/03/2026</t>
        </is>
      </c>
      <c r="C394" s="28" t="inlineStr">
        <is>
          <t>Wastewater Hydraulic Modeller</t>
        </is>
      </c>
      <c r="D394" s="28" t="inlineStr">
        <is>
          <t>Thames Water</t>
        </is>
      </c>
      <c r="E394" s="28" t="inlineStr">
        <is>
          <t>Pingewood, Reading</t>
        </is>
      </c>
      <c r="F394" s="28" t="inlineStr">
        <is>
          <t>£45,940 – £68,000</t>
        </is>
      </c>
      <c r="G394" s="28" t="inlineStr">
        <is>
          <t>Adzuna UK</t>
        </is>
      </c>
      <c r="H394" s="29" t="inlineStr">
        <is>
          <t>CONFIRMED</t>
        </is>
      </c>
      <c r="I394" s="28" t="n">
        <v>110</v>
      </c>
      <c r="J394" s="30" t="inlineStr">
        <is>
          <t>Apply Here</t>
        </is>
      </c>
      <c r="K394" s="31" t="inlineStr"/>
      <c r="L394" s="31" t="inlineStr"/>
      <c r="M394" s="31" t="inlineStr">
        <is>
          <t>Pending</t>
        </is>
      </c>
      <c r="N394" s="32" t="inlineStr"/>
      <c r="O394" s="31" t="inlineStr"/>
    </row>
    <row r="395" ht="16" customHeight="1">
      <c r="A395" s="33" t="inlineStr">
        <is>
          <t>3a6c36205356</t>
        </is>
      </c>
      <c r="B395" s="33" t="inlineStr">
        <is>
          <t>26/03/2026</t>
        </is>
      </c>
      <c r="C395" s="33" t="inlineStr">
        <is>
          <t>Water Networks Modeller</t>
        </is>
      </c>
      <c r="D395" s="33" t="inlineStr">
        <is>
          <t>Stantec UK</t>
        </is>
      </c>
      <c r="E395" s="33" t="inlineStr">
        <is>
          <t>London, UK</t>
        </is>
      </c>
      <c r="F395" s="33" t="inlineStr">
        <is>
          <t>£44,887 – £44,887</t>
        </is>
      </c>
      <c r="G395" s="33" t="inlineStr">
        <is>
          <t>Adzuna UK</t>
        </is>
      </c>
      <c r="H395" s="29" t="inlineStr">
        <is>
          <t>CONFIRMED</t>
        </is>
      </c>
      <c r="I395" s="33" t="n">
        <v>70</v>
      </c>
      <c r="J395" s="34" t="inlineStr">
        <is>
          <t>Apply Here</t>
        </is>
      </c>
      <c r="K395" s="35" t="inlineStr"/>
      <c r="L395" s="35" t="inlineStr"/>
      <c r="M395" s="35" t="inlineStr">
        <is>
          <t>Pending</t>
        </is>
      </c>
      <c r="N395" s="36" t="inlineStr"/>
      <c r="O395" s="35" t="inlineStr"/>
    </row>
    <row r="396" ht="16" customHeight="1">
      <c r="A396" s="28" t="inlineStr">
        <is>
          <t>83742c727c0f</t>
        </is>
      </c>
      <c r="B396" s="28" t="inlineStr">
        <is>
          <t>28/03/2026</t>
        </is>
      </c>
      <c r="C396" s="28" t="inlineStr">
        <is>
          <t>Design Engineer – Wastewater</t>
        </is>
      </c>
      <c r="D396" s="28" t="inlineStr">
        <is>
          <t>Timely Recruit Ltd</t>
        </is>
      </c>
      <c r="E396" s="28" t="inlineStr">
        <is>
          <t>London Area, United Kingdom</t>
        </is>
      </c>
      <c r="F396" s="28" t="inlineStr">
        <is>
          <t>Not specified</t>
        </is>
      </c>
      <c r="G396" s="28" t="inlineStr">
        <is>
          <t>LinkedIn</t>
        </is>
      </c>
      <c r="H396" s="38" t="inlineStr">
        <is>
          <t>UNKNOWN</t>
        </is>
      </c>
      <c r="I396" s="28" t="n">
        <v>50</v>
      </c>
      <c r="J396" s="30" t="inlineStr">
        <is>
          <t>Apply Here</t>
        </is>
      </c>
      <c r="K396" s="31" t="inlineStr"/>
      <c r="L396" s="31" t="inlineStr"/>
      <c r="M396" s="31" t="inlineStr">
        <is>
          <t>Pending</t>
        </is>
      </c>
      <c r="N396" s="32" t="inlineStr"/>
      <c r="O396" s="31" t="inlineStr"/>
    </row>
    <row r="397" ht="16" customHeight="1">
      <c r="A397" s="33" t="inlineStr">
        <is>
          <t>ad31540f93b4</t>
        </is>
      </c>
      <c r="B397" s="33" t="inlineStr">
        <is>
          <t>31/03/2026</t>
        </is>
      </c>
      <c r="C397" s="33" t="inlineStr">
        <is>
          <t>Wastewater Network Modeller</t>
        </is>
      </c>
      <c r="D397" s="33" t="inlineStr">
        <is>
          <t>Ganymede</t>
        </is>
      </c>
      <c r="E397" s="33" t="inlineStr">
        <is>
          <t>England, United Kingdom</t>
        </is>
      </c>
      <c r="F397" s="33" t="inlineStr">
        <is>
          <t>Not specified</t>
        </is>
      </c>
      <c r="G397" s="33" t="inlineStr">
        <is>
          <t>LinkedIn</t>
        </is>
      </c>
      <c r="H397" s="29" t="inlineStr">
        <is>
          <t>CONFIRMED</t>
        </is>
      </c>
      <c r="I397" s="33" t="n">
        <v>50</v>
      </c>
      <c r="J397" s="34" t="inlineStr">
        <is>
          <t>Apply Here</t>
        </is>
      </c>
      <c r="K397" s="35" t="inlineStr"/>
      <c r="L397" s="35" t="inlineStr"/>
      <c r="M397" s="35" t="inlineStr">
        <is>
          <t>Pending</t>
        </is>
      </c>
      <c r="N397" s="36" t="inlineStr"/>
      <c r="O397" s="35" t="inlineStr"/>
    </row>
    <row r="398" ht="16" customHeight="1">
      <c r="A398" s="28" t="inlineStr">
        <is>
          <t>bcba4f39902d</t>
        </is>
      </c>
      <c r="B398" s="28" t="inlineStr">
        <is>
          <t>31/03/2026</t>
        </is>
      </c>
      <c r="C398" s="28" t="inlineStr">
        <is>
          <t>Design Engineer – Wastewater</t>
        </is>
      </c>
      <c r="D398" s="28" t="inlineStr">
        <is>
          <t>Timely Recruit Ltd</t>
        </is>
      </c>
      <c r="E398" s="28" t="inlineStr">
        <is>
          <t>London Area, United Kingdom</t>
        </is>
      </c>
      <c r="F398" s="28" t="inlineStr">
        <is>
          <t>Not specified</t>
        </is>
      </c>
      <c r="G398" s="28" t="inlineStr">
        <is>
          <t>LinkedIn</t>
        </is>
      </c>
      <c r="H398" s="38" t="inlineStr">
        <is>
          <t>UNKNOWN</t>
        </is>
      </c>
      <c r="I398" s="28" t="n">
        <v>50</v>
      </c>
      <c r="J398" s="30" t="inlineStr">
        <is>
          <t>Apply Here</t>
        </is>
      </c>
      <c r="K398" s="31" t="inlineStr"/>
      <c r="L398" s="31" t="inlineStr"/>
      <c r="M398" s="31" t="inlineStr">
        <is>
          <t>Pending</t>
        </is>
      </c>
      <c r="N398" s="32" t="inlineStr"/>
      <c r="O398" s="31" t="inlineStr"/>
    </row>
    <row r="399" ht="16" customHeight="1">
      <c r="A399" s="33" t="inlineStr">
        <is>
          <t>4520a8f8dcfc</t>
        </is>
      </c>
      <c r="B399" s="33" t="inlineStr">
        <is>
          <t>03/04/2026</t>
        </is>
      </c>
      <c r="C399" s="33" t="inlineStr">
        <is>
          <t>Water Design Engineer</t>
        </is>
      </c>
      <c r="D399" s="33" t="inlineStr">
        <is>
          <t>Timely Recruit Ltd</t>
        </is>
      </c>
      <c r="E399" s="33" t="inlineStr">
        <is>
          <t>Surrey, England, United Kingdom</t>
        </is>
      </c>
      <c r="F399" s="33" t="inlineStr">
        <is>
          <t>Not specified</t>
        </is>
      </c>
      <c r="G399" s="33" t="inlineStr">
        <is>
          <t>LinkedIn</t>
        </is>
      </c>
      <c r="H399" s="38" t="inlineStr">
        <is>
          <t>UNKNOWN</t>
        </is>
      </c>
      <c r="I399" s="33" t="n">
        <v>90</v>
      </c>
      <c r="J399" s="34" t="inlineStr">
        <is>
          <t>Apply Here</t>
        </is>
      </c>
      <c r="K399" s="35" t="inlineStr"/>
      <c r="L399" s="35" t="inlineStr"/>
      <c r="M399" s="35" t="inlineStr">
        <is>
          <t>Pending</t>
        </is>
      </c>
      <c r="N399" s="36" t="inlineStr"/>
      <c r="O399" s="35" t="inlineStr"/>
    </row>
    <row r="400" ht="16" customHeight="1">
      <c r="A400" s="28" t="inlineStr">
        <is>
          <t>a0a0a15fa044</t>
        </is>
      </c>
      <c r="B400" s="28" t="inlineStr">
        <is>
          <t>03/04/2026</t>
        </is>
      </c>
      <c r="C400" s="28" t="inlineStr">
        <is>
          <t>Design Engineer – Wastewater</t>
        </is>
      </c>
      <c r="D400" s="28" t="inlineStr">
        <is>
          <t>Timely Recruit Ltd</t>
        </is>
      </c>
      <c r="E400" s="28" t="inlineStr">
        <is>
          <t>London Area, United Kingdom</t>
        </is>
      </c>
      <c r="F400" s="28" t="inlineStr">
        <is>
          <t>Not specified</t>
        </is>
      </c>
      <c r="G400" s="28" t="inlineStr">
        <is>
          <t>LinkedIn</t>
        </is>
      </c>
      <c r="H400" s="38" t="inlineStr">
        <is>
          <t>UNKNOWN</t>
        </is>
      </c>
      <c r="I400" s="28" t="n">
        <v>50</v>
      </c>
      <c r="J400" s="30" t="inlineStr">
        <is>
          <t>Apply Here</t>
        </is>
      </c>
      <c r="K400" s="31" t="inlineStr"/>
      <c r="L400" s="31" t="inlineStr"/>
      <c r="M400" s="31" t="inlineStr">
        <is>
          <t>Pending</t>
        </is>
      </c>
      <c r="N400" s="32" t="inlineStr"/>
      <c r="O400" s="31" t="inlineStr"/>
    </row>
    <row r="401" ht="16" customHeight="1">
      <c r="A401" s="33" t="inlineStr">
        <is>
          <t>176e709b15a4</t>
        </is>
      </c>
      <c r="B401" s="33" t="inlineStr">
        <is>
          <t>03/04/2026</t>
        </is>
      </c>
      <c r="C401" s="33" t="inlineStr">
        <is>
          <t>Design Engineer - Wastewater</t>
        </is>
      </c>
      <c r="D401" s="33" t="inlineStr">
        <is>
          <t>Timely Recruit Ltd</t>
        </is>
      </c>
      <c r="E401" s="33" t="inlineStr">
        <is>
          <t>Guildford, England, United Kingdom</t>
        </is>
      </c>
      <c r="F401" s="33" t="inlineStr">
        <is>
          <t>Not specified</t>
        </is>
      </c>
      <c r="G401" s="33" t="inlineStr">
        <is>
          <t>LinkedIn</t>
        </is>
      </c>
      <c r="H401" s="38" t="inlineStr">
        <is>
          <t>UNKNOWN</t>
        </is>
      </c>
      <c r="I401" s="33" t="n">
        <v>50</v>
      </c>
      <c r="J401" s="34" t="inlineStr">
        <is>
          <t>Apply Here</t>
        </is>
      </c>
      <c r="K401" s="35" t="inlineStr"/>
      <c r="L401" s="35" t="inlineStr"/>
      <c r="M401" s="35" t="inlineStr">
        <is>
          <t>Pending</t>
        </is>
      </c>
      <c r="N401" s="36" t="inlineStr"/>
      <c r="O401" s="35" t="inlineStr"/>
    </row>
    <row r="402" ht="16" customHeight="1">
      <c r="A402" s="28" t="inlineStr">
        <is>
          <t>edecf1d4c2e4</t>
        </is>
      </c>
      <c r="B402" s="28" t="inlineStr">
        <is>
          <t>05/04/2026</t>
        </is>
      </c>
      <c r="C402" s="28" t="inlineStr">
        <is>
          <t>Design Manager - Water</t>
        </is>
      </c>
      <c r="D402" s="28" t="inlineStr">
        <is>
          <t>Jacobs</t>
        </is>
      </c>
      <c r="E402" s="28" t="inlineStr">
        <is>
          <t>London, England, United Kingdom</t>
        </is>
      </c>
      <c r="F402" s="28" t="inlineStr">
        <is>
          <t>Not specified</t>
        </is>
      </c>
      <c r="G402" s="28" t="inlineStr">
        <is>
          <t>LinkedIn</t>
        </is>
      </c>
      <c r="H402" s="29" t="inlineStr">
        <is>
          <t>CONFIRMED</t>
        </is>
      </c>
      <c r="I402" s="28" t="n">
        <v>50</v>
      </c>
      <c r="J402" s="30" t="inlineStr">
        <is>
          <t>Apply Here</t>
        </is>
      </c>
      <c r="K402" s="31" t="inlineStr"/>
      <c r="L402" s="31" t="inlineStr"/>
      <c r="M402" s="31" t="inlineStr">
        <is>
          <t>Pending</t>
        </is>
      </c>
      <c r="N402" s="32" t="inlineStr"/>
      <c r="O402" s="31" t="inlineStr"/>
    </row>
    <row r="403" ht="16" customHeight="1">
      <c r="A403" s="33" t="inlineStr">
        <is>
          <t>43f0acfae23e</t>
        </is>
      </c>
      <c r="B403" s="33" t="inlineStr">
        <is>
          <t>05/04/2026</t>
        </is>
      </c>
      <c r="C403" s="33" t="inlineStr">
        <is>
          <t>Water Design Engineer</t>
        </is>
      </c>
      <c r="D403" s="33" t="inlineStr">
        <is>
          <t>Timely Recruit Ltd</t>
        </is>
      </c>
      <c r="E403" s="33" t="inlineStr">
        <is>
          <t>Surrey, South East England</t>
        </is>
      </c>
      <c r="F403" s="33" t="inlineStr">
        <is>
          <t>£39,730 – £39,730</t>
        </is>
      </c>
      <c r="G403" s="33" t="inlineStr">
        <is>
          <t>Adzuna UK</t>
        </is>
      </c>
      <c r="H403" s="37" t="inlineStr">
        <is>
          <t>LIKELY</t>
        </is>
      </c>
      <c r="I403" s="33" t="n">
        <v>140</v>
      </c>
      <c r="J403" s="34" t="inlineStr">
        <is>
          <t>Apply Here</t>
        </is>
      </c>
      <c r="K403" s="35" t="inlineStr"/>
      <c r="L403" s="35" t="inlineStr"/>
      <c r="M403" s="35" t="inlineStr">
        <is>
          <t>Pending</t>
        </is>
      </c>
      <c r="N403" s="36" t="inlineStr"/>
      <c r="O403" s="35" t="inlineStr"/>
    </row>
    <row r="404" ht="16" customHeight="1">
      <c r="A404" s="28" t="inlineStr">
        <is>
          <t>af09f1c64fd5</t>
        </is>
      </c>
      <c r="B404" s="28" t="inlineStr">
        <is>
          <t>09/04/2026</t>
        </is>
      </c>
      <c r="C404" s="28" t="inlineStr">
        <is>
          <t>Water Design Engineer</t>
        </is>
      </c>
      <c r="D404" s="28" t="inlineStr">
        <is>
          <t>Timely Recruit Ltd</t>
        </is>
      </c>
      <c r="E404" s="28" t="inlineStr">
        <is>
          <t>Surrey, England, United Kingdom</t>
        </is>
      </c>
      <c r="F404" s="28" t="inlineStr">
        <is>
          <t>Not specified</t>
        </is>
      </c>
      <c r="G404" s="28" t="inlineStr">
        <is>
          <t>LinkedIn</t>
        </is>
      </c>
      <c r="H404" s="38" t="inlineStr">
        <is>
          <t>UNKNOWN</t>
        </is>
      </c>
      <c r="I404" s="28" t="n">
        <v>90</v>
      </c>
      <c r="J404" s="30" t="inlineStr">
        <is>
          <t>Apply Here</t>
        </is>
      </c>
      <c r="K404" s="31" t="inlineStr"/>
      <c r="L404" s="31" t="inlineStr"/>
      <c r="M404" s="31" t="inlineStr">
        <is>
          <t>Pending</t>
        </is>
      </c>
      <c r="N404" s="32" t="inlineStr"/>
      <c r="O404" s="31" t="inlineStr"/>
    </row>
    <row r="405" ht="16" customHeight="1">
      <c r="A405" s="33" t="inlineStr">
        <is>
          <t>35a6169f718e</t>
        </is>
      </c>
      <c r="B405" s="33" t="inlineStr">
        <is>
          <t>09/04/2026</t>
        </is>
      </c>
      <c r="C405" s="33" t="inlineStr">
        <is>
          <t>Design Engineer – Wastewater</t>
        </is>
      </c>
      <c r="D405" s="33" t="inlineStr">
        <is>
          <t>Timely Recruit Ltd</t>
        </is>
      </c>
      <c r="E405" s="33" t="inlineStr">
        <is>
          <t>London Area, United Kingdom</t>
        </is>
      </c>
      <c r="F405" s="33" t="inlineStr">
        <is>
          <t>Not specified</t>
        </is>
      </c>
      <c r="G405" s="33" t="inlineStr">
        <is>
          <t>LinkedIn</t>
        </is>
      </c>
      <c r="H405" s="38" t="inlineStr">
        <is>
          <t>UNKNOWN</t>
        </is>
      </c>
      <c r="I405" s="33" t="n">
        <v>50</v>
      </c>
      <c r="J405" s="34" t="inlineStr">
        <is>
          <t>Apply Here</t>
        </is>
      </c>
      <c r="K405" s="35" t="inlineStr"/>
      <c r="L405" s="35" t="inlineStr"/>
      <c r="M405" s="35" t="inlineStr">
        <is>
          <t>Pending</t>
        </is>
      </c>
      <c r="N405" s="36" t="inlineStr"/>
      <c r="O405" s="35" t="inlineStr"/>
    </row>
    <row r="406" ht="16" customHeight="1">
      <c r="A406" s="28" t="inlineStr">
        <is>
          <t>6d8e1780f724</t>
        </is>
      </c>
      <c r="B406" s="28" t="inlineStr">
        <is>
          <t>09/04/2026</t>
        </is>
      </c>
      <c r="C406" s="28" t="inlineStr">
        <is>
          <t>Design Engineer - Wastewater</t>
        </is>
      </c>
      <c r="D406" s="28" t="inlineStr">
        <is>
          <t>Timely Recruit Ltd</t>
        </is>
      </c>
      <c r="E406" s="28" t="inlineStr">
        <is>
          <t>Guildford, England, United Kingdom</t>
        </is>
      </c>
      <c r="F406" s="28" t="inlineStr">
        <is>
          <t>Not specified</t>
        </is>
      </c>
      <c r="G406" s="28" t="inlineStr">
        <is>
          <t>LinkedIn</t>
        </is>
      </c>
      <c r="H406" s="38" t="inlineStr">
        <is>
          <t>UNKNOWN</t>
        </is>
      </c>
      <c r="I406" s="28" t="n">
        <v>50</v>
      </c>
      <c r="J406" s="30" t="inlineStr">
        <is>
          <t>Apply Here</t>
        </is>
      </c>
      <c r="K406" s="31" t="inlineStr"/>
      <c r="L406" s="31" t="inlineStr"/>
      <c r="M406" s="31" t="inlineStr">
        <is>
          <t>Pending</t>
        </is>
      </c>
      <c r="N406" s="32" t="inlineStr"/>
      <c r="O406" s="31" t="inlineStr"/>
    </row>
    <row r="407" ht="16" customHeight="1">
      <c r="A407" s="33" t="inlineStr">
        <is>
          <t>2fbda069d678</t>
        </is>
      </c>
      <c r="B407" s="33" t="inlineStr">
        <is>
          <t>11/04/2026</t>
        </is>
      </c>
      <c r="C407" s="33" t="inlineStr">
        <is>
          <t>Water Networks Modeller</t>
        </is>
      </c>
      <c r="D407" s="33" t="inlineStr">
        <is>
          <t>Stantec</t>
        </is>
      </c>
      <c r="E407" s="33" t="inlineStr">
        <is>
          <t>London, England, United Kingdom</t>
        </is>
      </c>
      <c r="F407" s="33" t="inlineStr">
        <is>
          <t>Not specified</t>
        </is>
      </c>
      <c r="G407" s="33" t="inlineStr">
        <is>
          <t>LinkedIn</t>
        </is>
      </c>
      <c r="H407" s="29" t="inlineStr">
        <is>
          <t>CONFIRMED</t>
        </is>
      </c>
      <c r="I407" s="33" t="n">
        <v>50</v>
      </c>
      <c r="J407" s="34" t="inlineStr">
        <is>
          <t>Apply Here</t>
        </is>
      </c>
      <c r="K407" s="35" t="inlineStr"/>
      <c r="L407" s="35" t="inlineStr"/>
      <c r="M407" s="35" t="inlineStr">
        <is>
          <t>Pending</t>
        </is>
      </c>
      <c r="N407" s="36" t="inlineStr"/>
      <c r="O407" s="35" t="inlineStr"/>
    </row>
    <row r="408" ht="16" customHeight="1">
      <c r="A408" s="28" t="inlineStr">
        <is>
          <t>fe16ec025ab3</t>
        </is>
      </c>
      <c r="B408" s="28" t="inlineStr">
        <is>
          <t>12/04/2026</t>
        </is>
      </c>
      <c r="C408" s="28" t="inlineStr">
        <is>
          <t>Design Engineer (Water Networks)</t>
        </is>
      </c>
      <c r="D408" s="28" t="inlineStr">
        <is>
          <t>Severn Trent</t>
        </is>
      </c>
      <c r="E408" s="28" t="inlineStr">
        <is>
          <t>South Derbyshire, England, United Kingdom</t>
        </is>
      </c>
      <c r="F408" s="28" t="inlineStr">
        <is>
          <t>Not specified</t>
        </is>
      </c>
      <c r="G408" s="28" t="inlineStr">
        <is>
          <t>LinkedIn</t>
        </is>
      </c>
      <c r="H408" s="29" t="inlineStr">
        <is>
          <t>CONFIRMED</t>
        </is>
      </c>
      <c r="I408" s="28" t="n">
        <v>70</v>
      </c>
      <c r="J408" s="30" t="inlineStr">
        <is>
          <t>Apply Here</t>
        </is>
      </c>
      <c r="K408" s="31" t="inlineStr"/>
      <c r="L408" s="31" t="inlineStr"/>
      <c r="M408" s="31" t="inlineStr">
        <is>
          <t>Pending</t>
        </is>
      </c>
      <c r="N408" s="32" t="inlineStr"/>
      <c r="O408" s="31" t="inlineStr"/>
    </row>
    <row r="409" ht="16" customHeight="1">
      <c r="A409" s="33" t="inlineStr">
        <is>
          <t>0e0da1fad7fc</t>
        </is>
      </c>
      <c r="B409" s="33" t="inlineStr">
        <is>
          <t>12/04/2026</t>
        </is>
      </c>
      <c r="C409" s="33" t="inlineStr">
        <is>
          <t>Water Design Engineer</t>
        </is>
      </c>
      <c r="D409" s="33" t="inlineStr">
        <is>
          <t>Timely Recruit Ltd</t>
        </is>
      </c>
      <c r="E409" s="33" t="inlineStr">
        <is>
          <t>Surrey, South East England</t>
        </is>
      </c>
      <c r="F409" s="33" t="inlineStr">
        <is>
          <t>£39,730 – £39,730</t>
        </is>
      </c>
      <c r="G409" s="33" t="inlineStr">
        <is>
          <t>Adzuna UK</t>
        </is>
      </c>
      <c r="H409" s="37" t="inlineStr">
        <is>
          <t>LIKELY</t>
        </is>
      </c>
      <c r="I409" s="33" t="n">
        <v>140</v>
      </c>
      <c r="J409" s="34" t="inlineStr">
        <is>
          <t>Apply Here</t>
        </is>
      </c>
      <c r="K409" s="35" t="inlineStr"/>
      <c r="L409" s="35" t="inlineStr"/>
      <c r="M409" s="35" t="inlineStr">
        <is>
          <t>Pending</t>
        </is>
      </c>
      <c r="N409" s="36" t="inlineStr"/>
      <c r="O409" s="35" t="inlineStr"/>
    </row>
    <row r="410" ht="16" customHeight="1">
      <c r="A410" s="28" t="inlineStr">
        <is>
          <t>46c9075b028a</t>
        </is>
      </c>
      <c r="B410" s="28" t="inlineStr">
        <is>
          <t>13/04/2026</t>
        </is>
      </c>
      <c r="C410" s="28" t="inlineStr">
        <is>
          <t>Water Design Engineer</t>
        </is>
      </c>
      <c r="D410" s="28" t="inlineStr">
        <is>
          <t>Timely Recruit Ltd</t>
        </is>
      </c>
      <c r="E410" s="28" t="inlineStr">
        <is>
          <t>Surrey, England, United Kingdom</t>
        </is>
      </c>
      <c r="F410" s="28" t="inlineStr">
        <is>
          <t>Not specified</t>
        </is>
      </c>
      <c r="G410" s="28" t="inlineStr">
        <is>
          <t>LinkedIn</t>
        </is>
      </c>
      <c r="H410" s="38" t="inlineStr">
        <is>
          <t>UNKNOWN</t>
        </is>
      </c>
      <c r="I410" s="28" t="n">
        <v>90</v>
      </c>
      <c r="J410" s="30" t="inlineStr">
        <is>
          <t>Apply Here</t>
        </is>
      </c>
      <c r="K410" s="31" t="inlineStr"/>
      <c r="L410" s="31" t="inlineStr"/>
      <c r="M410" s="31" t="inlineStr">
        <is>
          <t>Pending</t>
        </is>
      </c>
      <c r="N410" s="32" t="inlineStr"/>
      <c r="O410" s="31" t="inlineStr"/>
    </row>
    <row r="411" ht="16" customHeight="1">
      <c r="A411" s="33" t="inlineStr">
        <is>
          <t>213aa3e07fa6</t>
        </is>
      </c>
      <c r="B411" s="33" t="inlineStr">
        <is>
          <t>13/04/2026</t>
        </is>
      </c>
      <c r="C411" s="33" t="inlineStr">
        <is>
          <t>Design Engineer – Wastewater</t>
        </is>
      </c>
      <c r="D411" s="33" t="inlineStr">
        <is>
          <t>Timely Recruit Ltd</t>
        </is>
      </c>
      <c r="E411" s="33" t="inlineStr">
        <is>
          <t>London Area, United Kingdom</t>
        </is>
      </c>
      <c r="F411" s="33" t="inlineStr">
        <is>
          <t>Not specified</t>
        </is>
      </c>
      <c r="G411" s="33" t="inlineStr">
        <is>
          <t>LinkedIn</t>
        </is>
      </c>
      <c r="H411" s="38" t="inlineStr">
        <is>
          <t>UNKNOWN</t>
        </is>
      </c>
      <c r="I411" s="33" t="n">
        <v>50</v>
      </c>
      <c r="J411" s="34" t="inlineStr">
        <is>
          <t>Apply Here</t>
        </is>
      </c>
      <c r="K411" s="35" t="inlineStr"/>
      <c r="L411" s="35" t="inlineStr"/>
      <c r="M411" s="35" t="inlineStr">
        <is>
          <t>Pending</t>
        </is>
      </c>
      <c r="N411" s="36" t="inlineStr"/>
      <c r="O411" s="35" t="inlineStr"/>
    </row>
    <row r="412" ht="16" customHeight="1">
      <c r="A412" s="28" t="inlineStr">
        <is>
          <t>0b38b4cf407d</t>
        </is>
      </c>
      <c r="B412" s="28" t="inlineStr">
        <is>
          <t>13/04/2026</t>
        </is>
      </c>
      <c r="C412" s="28" t="inlineStr">
        <is>
          <t>Design Engineer - Wastewater</t>
        </is>
      </c>
      <c r="D412" s="28" t="inlineStr">
        <is>
          <t>Timely Recruit Ltd</t>
        </is>
      </c>
      <c r="E412" s="28" t="inlineStr">
        <is>
          <t>Guildford, England, United Kingdom</t>
        </is>
      </c>
      <c r="F412" s="28" t="inlineStr">
        <is>
          <t>Not specified</t>
        </is>
      </c>
      <c r="G412" s="28" t="inlineStr">
        <is>
          <t>LinkedIn</t>
        </is>
      </c>
      <c r="H412" s="38" t="inlineStr">
        <is>
          <t>UNKNOWN</t>
        </is>
      </c>
      <c r="I412" s="28" t="n">
        <v>50</v>
      </c>
      <c r="J412" s="30" t="inlineStr">
        <is>
          <t>Apply Here</t>
        </is>
      </c>
      <c r="K412" s="31" t="inlineStr"/>
      <c r="L412" s="31" t="inlineStr"/>
      <c r="M412" s="31" t="inlineStr">
        <is>
          <t>Pending</t>
        </is>
      </c>
      <c r="N412" s="32" t="inlineStr"/>
      <c r="O412" s="31" t="inlineStr"/>
    </row>
    <row r="413" ht="16" customHeight="1">
      <c r="A413" s="33" t="inlineStr">
        <is>
          <t>c1ba1b179d20</t>
        </is>
      </c>
      <c r="B413" s="33" t="inlineStr">
        <is>
          <t>16/04/2026</t>
        </is>
      </c>
      <c r="C413" s="33" t="inlineStr">
        <is>
          <t>Water Design Engineer</t>
        </is>
      </c>
      <c r="D413" s="33" t="inlineStr">
        <is>
          <t>Timely Recruit Ltd</t>
        </is>
      </c>
      <c r="E413" s="33" t="inlineStr">
        <is>
          <t>Surrey, South East England</t>
        </is>
      </c>
      <c r="F413" s="33" t="inlineStr">
        <is>
          <t>£39,730 – £39,730</t>
        </is>
      </c>
      <c r="G413" s="33" t="inlineStr">
        <is>
          <t>Adzuna UK</t>
        </is>
      </c>
      <c r="H413" s="37" t="inlineStr">
        <is>
          <t>LIKELY</t>
        </is>
      </c>
      <c r="I413" s="33" t="n">
        <v>140</v>
      </c>
      <c r="J413" s="34" t="inlineStr">
        <is>
          <t>Apply Here</t>
        </is>
      </c>
      <c r="K413" s="35" t="inlineStr"/>
      <c r="L413" s="35" t="inlineStr"/>
      <c r="M413" s="35" t="inlineStr">
        <is>
          <t>Pending</t>
        </is>
      </c>
      <c r="N413" s="36" t="inlineStr"/>
      <c r="O413" s="35" t="inlineStr"/>
    </row>
    <row r="414" ht="16" customHeight="1">
      <c r="A414" s="28" t="inlineStr">
        <is>
          <t>884085f73e77</t>
        </is>
      </c>
      <c r="B414" s="28" t="inlineStr">
        <is>
          <t>18/04/2026</t>
        </is>
      </c>
      <c r="C414" s="28" t="inlineStr">
        <is>
          <t>Water Design Engineer</t>
        </is>
      </c>
      <c r="D414" s="28" t="inlineStr">
        <is>
          <t>Timely Recruit Ltd</t>
        </is>
      </c>
      <c r="E414" s="28" t="inlineStr">
        <is>
          <t>Surrey, England, United Kingdom</t>
        </is>
      </c>
      <c r="F414" s="28" t="inlineStr">
        <is>
          <t>Not specified</t>
        </is>
      </c>
      <c r="G414" s="28" t="inlineStr">
        <is>
          <t>LinkedIn</t>
        </is>
      </c>
      <c r="H414" s="38" t="inlineStr">
        <is>
          <t>UNKNOWN</t>
        </is>
      </c>
      <c r="I414" s="28" t="n">
        <v>90</v>
      </c>
      <c r="J414" s="30" t="inlineStr">
        <is>
          <t>Apply Here</t>
        </is>
      </c>
      <c r="K414" s="31" t="inlineStr"/>
      <c r="L414" s="31" t="inlineStr"/>
      <c r="M414" s="31" t="inlineStr">
        <is>
          <t>Pending</t>
        </is>
      </c>
      <c r="N414" s="32" t="inlineStr"/>
      <c r="O414" s="31" t="inlineStr"/>
    </row>
    <row r="415" ht="16" customHeight="1">
      <c r="A415" s="33" t="inlineStr">
        <is>
          <t>401eb93bb39e</t>
        </is>
      </c>
      <c r="B415" s="33" t="inlineStr">
        <is>
          <t>18/04/2026</t>
        </is>
      </c>
      <c r="C415" s="33" t="inlineStr">
        <is>
          <t>Design Engineer – Wastewater</t>
        </is>
      </c>
      <c r="D415" s="33" t="inlineStr">
        <is>
          <t>Timely Recruit Ltd</t>
        </is>
      </c>
      <c r="E415" s="33" t="inlineStr">
        <is>
          <t>London Area, United Kingdom</t>
        </is>
      </c>
      <c r="F415" s="33" t="inlineStr">
        <is>
          <t>Not specified</t>
        </is>
      </c>
      <c r="G415" s="33" t="inlineStr">
        <is>
          <t>LinkedIn</t>
        </is>
      </c>
      <c r="H415" s="38" t="inlineStr">
        <is>
          <t>UNKNOWN</t>
        </is>
      </c>
      <c r="I415" s="33" t="n">
        <v>50</v>
      </c>
      <c r="J415" s="34" t="inlineStr">
        <is>
          <t>Apply Here</t>
        </is>
      </c>
      <c r="K415" s="35" t="inlineStr"/>
      <c r="L415" s="35" t="inlineStr"/>
      <c r="M415" s="35" t="inlineStr">
        <is>
          <t>Pending</t>
        </is>
      </c>
      <c r="N415" s="36" t="inlineStr"/>
      <c r="O415" s="35" t="inlineStr"/>
    </row>
    <row r="416" ht="16" customHeight="1">
      <c r="A416" s="28" t="inlineStr">
        <is>
          <t>2f3c7b7bd5c1</t>
        </is>
      </c>
      <c r="B416" s="28" t="inlineStr">
        <is>
          <t>18/04/2026</t>
        </is>
      </c>
      <c r="C416" s="28" t="inlineStr">
        <is>
          <t>Design Engineer - Wastewater</t>
        </is>
      </c>
      <c r="D416" s="28" t="inlineStr">
        <is>
          <t>Timely Recruit Ltd</t>
        </is>
      </c>
      <c r="E416" s="28" t="inlineStr">
        <is>
          <t>Guildford, England, United Kingdom</t>
        </is>
      </c>
      <c r="F416" s="28" t="inlineStr">
        <is>
          <t>Not specified</t>
        </is>
      </c>
      <c r="G416" s="28" t="inlineStr">
        <is>
          <t>LinkedIn</t>
        </is>
      </c>
      <c r="H416" s="38" t="inlineStr">
        <is>
          <t>UNKNOWN</t>
        </is>
      </c>
      <c r="I416" s="28" t="n">
        <v>50</v>
      </c>
      <c r="J416" s="30" t="inlineStr">
        <is>
          <t>Apply Here</t>
        </is>
      </c>
      <c r="K416" s="31" t="inlineStr"/>
      <c r="L416" s="31" t="inlineStr"/>
      <c r="M416" s="31" t="inlineStr">
        <is>
          <t>Pending</t>
        </is>
      </c>
      <c r="N416" s="32" t="inlineStr"/>
      <c r="O416" s="31" t="inlineStr"/>
    </row>
    <row r="417" ht="16" customHeight="1">
      <c r="A417" s="33" t="inlineStr">
        <is>
          <t>7f0fbbda05ff</t>
        </is>
      </c>
      <c r="B417" s="33" t="inlineStr">
        <is>
          <t>20/04/2026</t>
        </is>
      </c>
      <c r="C417" s="33" t="inlineStr">
        <is>
          <t>Water Design Engineer</t>
        </is>
      </c>
      <c r="D417" s="33" t="inlineStr">
        <is>
          <t>Timely Recruit Ltd</t>
        </is>
      </c>
      <c r="E417" s="33" t="inlineStr">
        <is>
          <t>Surrey, South East England</t>
        </is>
      </c>
      <c r="F417" s="33" t="inlineStr">
        <is>
          <t>£39,730 – £39,730</t>
        </is>
      </c>
      <c r="G417" s="33" t="inlineStr">
        <is>
          <t>Adzuna UK</t>
        </is>
      </c>
      <c r="H417" s="37" t="inlineStr">
        <is>
          <t>LIKELY</t>
        </is>
      </c>
      <c r="I417" s="33" t="n">
        <v>140</v>
      </c>
      <c r="J417" s="34" t="inlineStr">
        <is>
          <t>Apply Here</t>
        </is>
      </c>
      <c r="K417" s="35" t="inlineStr"/>
      <c r="L417" s="35" t="inlineStr"/>
      <c r="M417" s="35" t="inlineStr">
        <is>
          <t>Pending</t>
        </is>
      </c>
      <c r="N417" s="36" t="inlineStr"/>
      <c r="O417" s="35" t="inlineStr"/>
    </row>
    <row r="418" ht="16" customHeight="1">
      <c r="A418" s="28" t="inlineStr">
        <is>
          <t>75e746290988</t>
        </is>
      </c>
      <c r="B418" s="28" t="inlineStr">
        <is>
          <t>20/04/2026</t>
        </is>
      </c>
      <c r="C418" s="28" t="inlineStr">
        <is>
          <t>Water Design Engineer</t>
        </is>
      </c>
      <c r="D418" s="28" t="inlineStr">
        <is>
          <t>Timely Recruit Ltd</t>
        </is>
      </c>
      <c r="E418" s="28" t="inlineStr">
        <is>
          <t>Surrey, England, United Kingdom</t>
        </is>
      </c>
      <c r="F418" s="28" t="inlineStr">
        <is>
          <t>Not specified</t>
        </is>
      </c>
      <c r="G418" s="28" t="inlineStr">
        <is>
          <t>LinkedIn</t>
        </is>
      </c>
      <c r="H418" s="38" t="inlineStr">
        <is>
          <t>UNKNOWN</t>
        </is>
      </c>
      <c r="I418" s="28" t="n">
        <v>90</v>
      </c>
      <c r="J418" s="30" t="inlineStr">
        <is>
          <t>Apply Here</t>
        </is>
      </c>
      <c r="K418" s="31" t="inlineStr"/>
      <c r="L418" s="31" t="inlineStr"/>
      <c r="M418" s="31" t="inlineStr">
        <is>
          <t>Pending</t>
        </is>
      </c>
      <c r="N418" s="32" t="inlineStr"/>
      <c r="O418" s="31" t="inlineStr"/>
    </row>
    <row r="419" ht="16" customHeight="1">
      <c r="A419" s="33" t="inlineStr">
        <is>
          <t>7ce3f0baf0fd</t>
        </is>
      </c>
      <c r="B419" s="33" t="inlineStr">
        <is>
          <t>20/04/2026</t>
        </is>
      </c>
      <c r="C419" s="33" t="inlineStr">
        <is>
          <t>Design Engineer - Wastewater</t>
        </is>
      </c>
      <c r="D419" s="33" t="inlineStr">
        <is>
          <t>Timely Recruit Ltd</t>
        </is>
      </c>
      <c r="E419" s="33" t="inlineStr">
        <is>
          <t>Guildford, England, United Kingdom</t>
        </is>
      </c>
      <c r="F419" s="33" t="inlineStr">
        <is>
          <t>Not specified</t>
        </is>
      </c>
      <c r="G419" s="33" t="inlineStr">
        <is>
          <t>LinkedIn</t>
        </is>
      </c>
      <c r="H419" s="38" t="inlineStr">
        <is>
          <t>UNKNOWN</t>
        </is>
      </c>
      <c r="I419" s="33" t="n">
        <v>50</v>
      </c>
      <c r="J419" s="34" t="inlineStr">
        <is>
          <t>Apply Here</t>
        </is>
      </c>
      <c r="K419" s="35" t="inlineStr"/>
      <c r="L419" s="35" t="inlineStr"/>
      <c r="M419" s="35" t="inlineStr">
        <is>
          <t>Pending</t>
        </is>
      </c>
      <c r="N419" s="36" t="inlineStr"/>
      <c r="O419" s="35" t="inlineStr"/>
    </row>
    <row r="420" ht="16" customHeight="1">
      <c r="A420" s="28" t="inlineStr">
        <is>
          <t>985a3fcb8e6e</t>
        </is>
      </c>
      <c r="B420" s="28" t="inlineStr">
        <is>
          <t>21/04/2026</t>
        </is>
      </c>
      <c r="C420" s="28" t="inlineStr">
        <is>
          <t>Design Engineer – Wastewater</t>
        </is>
      </c>
      <c r="D420" s="28" t="inlineStr">
        <is>
          <t>Timely Recruit Ltd</t>
        </is>
      </c>
      <c r="E420" s="28" t="inlineStr">
        <is>
          <t>London Area, United Kingdom</t>
        </is>
      </c>
      <c r="F420" s="28" t="inlineStr">
        <is>
          <t>Not specified</t>
        </is>
      </c>
      <c r="G420" s="28" t="inlineStr">
        <is>
          <t>LinkedIn</t>
        </is>
      </c>
      <c r="H420" s="38" t="inlineStr">
        <is>
          <t>UNKNOWN</t>
        </is>
      </c>
      <c r="I420" s="28" t="n">
        <v>50</v>
      </c>
      <c r="J420" s="30" t="inlineStr">
        <is>
          <t>Apply Here</t>
        </is>
      </c>
      <c r="K420" s="31" t="inlineStr"/>
      <c r="L420" s="31" t="inlineStr"/>
      <c r="M420" s="31" t="inlineStr">
        <is>
          <t>Pending</t>
        </is>
      </c>
      <c r="N420" s="32" t="inlineStr"/>
      <c r="O420" s="31" t="inlineStr"/>
    </row>
    <row r="421" ht="16" customHeight="1">
      <c r="A421" s="33" t="inlineStr">
        <is>
          <t>7ea439573191</t>
        </is>
      </c>
      <c r="B421" s="33" t="inlineStr">
        <is>
          <t>23/04/2026</t>
        </is>
      </c>
      <c r="C421" s="33" t="inlineStr">
        <is>
          <t>Process Design Engineer - Water</t>
        </is>
      </c>
      <c r="D421" s="33" t="inlineStr">
        <is>
          <t>Shirley Parsons Ltd</t>
        </is>
      </c>
      <c r="E421" s="33" t="inlineStr">
        <is>
          <t>Hemel Hempstead, Hertfordshire</t>
        </is>
      </c>
      <c r="F421" s="33" t="inlineStr">
        <is>
          <t>£40,000 – £50,000</t>
        </is>
      </c>
      <c r="G421" s="33" t="inlineStr">
        <is>
          <t>Adzuna UK</t>
        </is>
      </c>
      <c r="H421" s="29" t="inlineStr">
        <is>
          <t>CONFIRMED</t>
        </is>
      </c>
      <c r="I421" s="33" t="n">
        <v>85</v>
      </c>
      <c r="J421" s="34" t="inlineStr">
        <is>
          <t>Apply Here</t>
        </is>
      </c>
      <c r="K421" s="35" t="inlineStr"/>
      <c r="L421" s="35" t="inlineStr"/>
      <c r="M421" s="35" t="inlineStr">
        <is>
          <t>Pending</t>
        </is>
      </c>
      <c r="N421" s="36" t="inlineStr"/>
      <c r="O421" s="35" t="inlineStr"/>
    </row>
    <row r="422" ht="16" customHeight="1">
      <c r="A422" s="28" t="inlineStr">
        <is>
          <t>67c2c1945a5d</t>
        </is>
      </c>
      <c r="B422" s="28" t="inlineStr">
        <is>
          <t>23/04/2026</t>
        </is>
      </c>
      <c r="C422" s="28" t="inlineStr">
        <is>
          <t>Civil Design Engineer - Water</t>
        </is>
      </c>
      <c r="D422" s="28" t="inlineStr">
        <is>
          <t>Shirley Parsons</t>
        </is>
      </c>
      <c r="E422" s="28" t="inlineStr">
        <is>
          <t>Hemel Hempstead, England, United Kingdom</t>
        </is>
      </c>
      <c r="F422" s="28" t="inlineStr">
        <is>
          <t>Not specified</t>
        </is>
      </c>
      <c r="G422" s="28" t="inlineStr">
        <is>
          <t>LinkedIn</t>
        </is>
      </c>
      <c r="H422" s="29" t="inlineStr">
        <is>
          <t>CONFIRMED</t>
        </is>
      </c>
      <c r="I422" s="28" t="n">
        <v>50</v>
      </c>
      <c r="J422" s="30" t="inlineStr">
        <is>
          <t>Apply Here</t>
        </is>
      </c>
      <c r="K422" s="31" t="inlineStr"/>
      <c r="L422" s="31" t="inlineStr"/>
      <c r="M422" s="31" t="inlineStr">
        <is>
          <t>Pending</t>
        </is>
      </c>
      <c r="N422" s="32" t="inlineStr"/>
      <c r="O422" s="31" t="inlineStr"/>
    </row>
    <row r="423" ht="16" customHeight="1">
      <c r="A423" s="33" t="inlineStr">
        <is>
          <t>f02641b6fdd7</t>
        </is>
      </c>
      <c r="B423" s="33" t="inlineStr">
        <is>
          <t>24/04/2026</t>
        </is>
      </c>
      <c r="C423" s="33" t="inlineStr">
        <is>
          <t>Water Design Engineer</t>
        </is>
      </c>
      <c r="D423" s="33" t="inlineStr">
        <is>
          <t>Timely Recruit Ltd</t>
        </is>
      </c>
      <c r="E423" s="33" t="inlineStr">
        <is>
          <t>Surrey, South East England</t>
        </is>
      </c>
      <c r="F423" s="33" t="inlineStr">
        <is>
          <t>£39,730 – £39,730</t>
        </is>
      </c>
      <c r="G423" s="33" t="inlineStr">
        <is>
          <t>Adzuna UK</t>
        </is>
      </c>
      <c r="H423" s="37" t="inlineStr">
        <is>
          <t>LIKELY</t>
        </is>
      </c>
      <c r="I423" s="33" t="n">
        <v>140</v>
      </c>
      <c r="J423" s="34" t="inlineStr">
        <is>
          <t>Apply Here</t>
        </is>
      </c>
      <c r="K423" s="35" t="inlineStr"/>
      <c r="L423" s="35" t="inlineStr"/>
      <c r="M423" s="35" t="inlineStr">
        <is>
          <t>Pending</t>
        </is>
      </c>
      <c r="N423" s="36" t="inlineStr"/>
      <c r="O423" s="35" t="inlineStr"/>
    </row>
    <row r="424" ht="16" customHeight="1">
      <c r="A424" s="28" t="inlineStr">
        <is>
          <t>616dea57aace</t>
        </is>
      </c>
      <c r="B424" s="28" t="inlineStr">
        <is>
          <t>27/04/2026</t>
        </is>
      </c>
      <c r="C424" s="28" t="inlineStr">
        <is>
          <t>Project Manager - Water Infrastructure</t>
        </is>
      </c>
      <c r="D424" s="28" t="inlineStr">
        <is>
          <t>AtkinsRéalis</t>
        </is>
      </c>
      <c r="E424" s="28" t="inlineStr">
        <is>
          <t>London, England, United Kingdom</t>
        </is>
      </c>
      <c r="F424" s="28" t="inlineStr">
        <is>
          <t>Not specified</t>
        </is>
      </c>
      <c r="G424" s="28" t="inlineStr">
        <is>
          <t>LinkedIn</t>
        </is>
      </c>
      <c r="H424" s="29" t="inlineStr">
        <is>
          <t>CONFIRMED</t>
        </is>
      </c>
      <c r="I424" s="28" t="n">
        <v>65</v>
      </c>
      <c r="J424" s="30" t="inlineStr">
        <is>
          <t>Apply Here</t>
        </is>
      </c>
      <c r="K424" s="31" t="inlineStr"/>
      <c r="L424" s="31" t="inlineStr"/>
      <c r="M424" s="31" t="inlineStr">
        <is>
          <t>Pending</t>
        </is>
      </c>
      <c r="N424" s="32" t="inlineStr"/>
      <c r="O424" s="31" t="inlineStr"/>
    </row>
    <row r="425" ht="16" customHeight="1">
      <c r="A425" s="33" t="inlineStr">
        <is>
          <t>3d813f3f32f5</t>
        </is>
      </c>
      <c r="B425" s="33" t="inlineStr">
        <is>
          <t>27/04/2026</t>
        </is>
      </c>
      <c r="C425" s="33" t="inlineStr">
        <is>
          <t>Water Design Engineer</t>
        </is>
      </c>
      <c r="D425" s="33" t="inlineStr">
        <is>
          <t>Timely Recruit Ltd</t>
        </is>
      </c>
      <c r="E425" s="33" t="inlineStr">
        <is>
          <t>Surrey, England, United Kingdom</t>
        </is>
      </c>
      <c r="F425" s="33" t="inlineStr">
        <is>
          <t>Not specified</t>
        </is>
      </c>
      <c r="G425" s="33" t="inlineStr">
        <is>
          <t>LinkedIn</t>
        </is>
      </c>
      <c r="H425" s="38" t="inlineStr">
        <is>
          <t>UNKNOWN</t>
        </is>
      </c>
      <c r="I425" s="33" t="n">
        <v>90</v>
      </c>
      <c r="J425" s="34" t="inlineStr">
        <is>
          <t>Apply Here</t>
        </is>
      </c>
      <c r="K425" s="35" t="inlineStr"/>
      <c r="L425" s="35" t="inlineStr"/>
      <c r="M425" s="35" t="inlineStr">
        <is>
          <t>Pending</t>
        </is>
      </c>
      <c r="N425" s="36" t="inlineStr"/>
      <c r="O425" s="35" t="inlineStr"/>
    </row>
    <row r="426" ht="16" customHeight="1">
      <c r="A426" s="28" t="inlineStr">
        <is>
          <t>2f3b77946507</t>
        </is>
      </c>
      <c r="B426" s="28" t="inlineStr">
        <is>
          <t>27/04/2026</t>
        </is>
      </c>
      <c r="C426" s="28" t="inlineStr">
        <is>
          <t>Design Engineer – Wastewater</t>
        </is>
      </c>
      <c r="D426" s="28" t="inlineStr">
        <is>
          <t>Timely Recruit Ltd</t>
        </is>
      </c>
      <c r="E426" s="28" t="inlineStr">
        <is>
          <t>London Area, United Kingdom</t>
        </is>
      </c>
      <c r="F426" s="28" t="inlineStr">
        <is>
          <t>Not specified</t>
        </is>
      </c>
      <c r="G426" s="28" t="inlineStr">
        <is>
          <t>LinkedIn</t>
        </is>
      </c>
      <c r="H426" s="38" t="inlineStr">
        <is>
          <t>UNKNOWN</t>
        </is>
      </c>
      <c r="I426" s="28" t="n">
        <v>50</v>
      </c>
      <c r="J426" s="30" t="inlineStr">
        <is>
          <t>Apply Here</t>
        </is>
      </c>
      <c r="K426" s="31" t="inlineStr"/>
      <c r="L426" s="31" t="inlineStr"/>
      <c r="M426" s="31" t="inlineStr">
        <is>
          <t>Pending</t>
        </is>
      </c>
      <c r="N426" s="32" t="inlineStr"/>
      <c r="O426" s="31" t="inlineStr"/>
    </row>
    <row r="427" ht="16" customHeight="1">
      <c r="A427" s="33" t="inlineStr">
        <is>
          <t>20a00e6ec41e</t>
        </is>
      </c>
      <c r="B427" s="33" t="inlineStr">
        <is>
          <t>27/04/2026</t>
        </is>
      </c>
      <c r="C427" s="33" t="inlineStr">
        <is>
          <t>Design Engineer - Wastewater</t>
        </is>
      </c>
      <c r="D427" s="33" t="inlineStr">
        <is>
          <t>Timely Recruit Ltd</t>
        </is>
      </c>
      <c r="E427" s="33" t="inlineStr">
        <is>
          <t>London Area, United Kingdom</t>
        </is>
      </c>
      <c r="F427" s="33" t="inlineStr">
        <is>
          <t>Not specified</t>
        </is>
      </c>
      <c r="G427" s="33" t="inlineStr">
        <is>
          <t>LinkedIn</t>
        </is>
      </c>
      <c r="H427" s="38" t="inlineStr">
        <is>
          <t>UNKNOWN</t>
        </is>
      </c>
      <c r="I427" s="33" t="n">
        <v>50</v>
      </c>
      <c r="J427" s="34" t="inlineStr">
        <is>
          <t>Apply Here</t>
        </is>
      </c>
      <c r="K427" s="35" t="inlineStr"/>
      <c r="L427" s="35" t="inlineStr"/>
      <c r="M427" s="35" t="inlineStr">
        <is>
          <t>Pending</t>
        </is>
      </c>
      <c r="N427" s="36" t="inlineStr"/>
      <c r="O427" s="35" t="inlineStr"/>
    </row>
    <row r="428" ht="16" customHeight="1">
      <c r="A428" s="28" t="inlineStr">
        <is>
          <t>45198645c5fe</t>
        </is>
      </c>
      <c r="B428" s="28" t="inlineStr">
        <is>
          <t>29/04/2026</t>
        </is>
      </c>
      <c r="C428" s="28" t="inlineStr">
        <is>
          <t>Hydraulic / Flood Modeller</t>
        </is>
      </c>
      <c r="D428" s="28" t="inlineStr">
        <is>
          <t>Calibre Search</t>
        </is>
      </c>
      <c r="E428" s="28" t="inlineStr">
        <is>
          <t>Bishopsgate, Central London</t>
        </is>
      </c>
      <c r="F428" s="28" t="inlineStr">
        <is>
          <t>£28,000 – £40,000</t>
        </is>
      </c>
      <c r="G428" s="28" t="inlineStr">
        <is>
          <t>Adzuna UK</t>
        </is>
      </c>
      <c r="H428" s="38" t="inlineStr">
        <is>
          <t>UNKNOWN</t>
        </is>
      </c>
      <c r="I428" s="28" t="n">
        <v>50</v>
      </c>
      <c r="J428" s="30" t="inlineStr">
        <is>
          <t>Apply Here</t>
        </is>
      </c>
      <c r="K428" s="31" t="inlineStr"/>
      <c r="L428" s="31" t="inlineStr"/>
      <c r="M428" s="31" t="inlineStr">
        <is>
          <t>Pending</t>
        </is>
      </c>
      <c r="N428" s="32" t="inlineStr"/>
      <c r="O428" s="31" t="inlineStr"/>
    </row>
    <row r="429" ht="16" customHeight="1">
      <c r="A429" s="33" t="inlineStr">
        <is>
          <t>3bde9138c749</t>
        </is>
      </c>
      <c r="B429" s="33" t="inlineStr">
        <is>
          <t>29/04/2026</t>
        </is>
      </c>
      <c r="C429" s="33" t="inlineStr">
        <is>
          <t>Hydraulic / Flood Modeller</t>
        </is>
      </c>
      <c r="D429" s="33" t="inlineStr">
        <is>
          <t>Calibre Search</t>
        </is>
      </c>
      <c r="E429" s="33" t="inlineStr">
        <is>
          <t>London, UK</t>
        </is>
      </c>
      <c r="F429" s="33" t="inlineStr">
        <is>
          <t>£28,000 – £40,000</t>
        </is>
      </c>
      <c r="G429" s="33" t="inlineStr">
        <is>
          <t>Adzuna UK</t>
        </is>
      </c>
      <c r="H429" s="38" t="inlineStr">
        <is>
          <t>UNKNOWN</t>
        </is>
      </c>
      <c r="I429" s="33" t="n">
        <v>50</v>
      </c>
      <c r="J429" s="34" t="inlineStr">
        <is>
          <t>Apply Here</t>
        </is>
      </c>
      <c r="K429" s="35" t="inlineStr"/>
      <c r="L429" s="35" t="inlineStr"/>
      <c r="M429" s="35" t="inlineStr">
        <is>
          <t>Pending</t>
        </is>
      </c>
      <c r="N429" s="36" t="inlineStr"/>
      <c r="O429" s="35" t="inlineStr"/>
    </row>
    <row r="430" ht="16" customHeight="1">
      <c r="A430" s="28" t="inlineStr">
        <is>
          <t>6c55ea27b7e0</t>
        </is>
      </c>
      <c r="B430" s="28" t="inlineStr">
        <is>
          <t>30/04/2026</t>
        </is>
      </c>
      <c r="C430" s="28" t="inlineStr">
        <is>
          <t>Water Design Engineer</t>
        </is>
      </c>
      <c r="D430" s="28" t="inlineStr">
        <is>
          <t>Timely Recruit Ltd</t>
        </is>
      </c>
      <c r="E430" s="28" t="inlineStr">
        <is>
          <t>Surrey, South East England</t>
        </is>
      </c>
      <c r="F430" s="28" t="inlineStr">
        <is>
          <t>£39,730 – £39,730</t>
        </is>
      </c>
      <c r="G430" s="28" t="inlineStr">
        <is>
          <t>Adzuna UK</t>
        </is>
      </c>
      <c r="H430" s="37" t="inlineStr">
        <is>
          <t>LIKELY</t>
        </is>
      </c>
      <c r="I430" s="28" t="n">
        <v>140</v>
      </c>
      <c r="J430" s="30" t="inlineStr">
        <is>
          <t>Apply Here</t>
        </is>
      </c>
      <c r="K430" s="31" t="inlineStr"/>
      <c r="L430" s="31" t="inlineStr"/>
      <c r="M430" s="31" t="inlineStr">
        <is>
          <t>Pending</t>
        </is>
      </c>
      <c r="N430" s="32" t="inlineStr"/>
      <c r="O430" s="31" t="inlineStr"/>
    </row>
    <row r="431" ht="16" customHeight="1">
      <c r="A431" s="33" t="inlineStr">
        <is>
          <t>f43b0d3be3bb</t>
        </is>
      </c>
      <c r="B431" s="33" t="inlineStr">
        <is>
          <t>01/05/2026</t>
        </is>
      </c>
      <c r="C431" s="33" t="inlineStr">
        <is>
          <t>Civil Design Engineer - Water</t>
        </is>
      </c>
      <c r="D431" s="33" t="inlineStr">
        <is>
          <t>Shirley Parsons</t>
        </is>
      </c>
      <c r="E431" s="33" t="inlineStr">
        <is>
          <t>Hemel Hempstead, Hertfordshire</t>
        </is>
      </c>
      <c r="F431" s="33" t="inlineStr">
        <is>
          <t>£45,594 – £45,594</t>
        </is>
      </c>
      <c r="G431" s="33" t="inlineStr">
        <is>
          <t>Adzuna UK</t>
        </is>
      </c>
      <c r="H431" s="29" t="inlineStr">
        <is>
          <t>CONFIRMED</t>
        </is>
      </c>
      <c r="I431" s="33" t="n">
        <v>70</v>
      </c>
      <c r="J431" s="34" t="inlineStr">
        <is>
          <t>Apply Here</t>
        </is>
      </c>
      <c r="K431" s="35" t="inlineStr"/>
      <c r="L431" s="35" t="inlineStr"/>
      <c r="M431" s="35" t="inlineStr">
        <is>
          <t>Pending</t>
        </is>
      </c>
      <c r="N431" s="36" t="inlineStr"/>
      <c r="O431" s="35" t="inlineStr"/>
    </row>
    <row r="432" ht="16" customHeight="1">
      <c r="A432" s="28" t="inlineStr">
        <is>
          <t>65aac2ac2f1e</t>
        </is>
      </c>
      <c r="B432" s="28" t="inlineStr">
        <is>
          <t>01/05/2026</t>
        </is>
      </c>
      <c r="C432" s="28" t="inlineStr">
        <is>
          <t>Wastewater Network Modeller</t>
        </is>
      </c>
      <c r="D432" s="28" t="inlineStr">
        <is>
          <t>Ganymede</t>
        </is>
      </c>
      <c r="E432" s="28" t="inlineStr">
        <is>
          <t>England, United Kingdom</t>
        </is>
      </c>
      <c r="F432" s="28" t="inlineStr">
        <is>
          <t>Not specified</t>
        </is>
      </c>
      <c r="G432" s="28" t="inlineStr">
        <is>
          <t>LinkedIn</t>
        </is>
      </c>
      <c r="H432" s="29" t="inlineStr">
        <is>
          <t>CONFIRMED</t>
        </is>
      </c>
      <c r="I432" s="28" t="n">
        <v>50</v>
      </c>
      <c r="J432" s="30" t="inlineStr">
        <is>
          <t>Apply Here</t>
        </is>
      </c>
      <c r="K432" s="31" t="inlineStr"/>
      <c r="L432" s="31" t="inlineStr"/>
      <c r="M432" s="31" t="inlineStr">
        <is>
          <t>Pending</t>
        </is>
      </c>
      <c r="N432" s="32" t="inlineStr"/>
      <c r="O432" s="31" t="inlineStr"/>
    </row>
    <row r="433" ht="16" customHeight="1">
      <c r="A433" s="33" t="inlineStr">
        <is>
          <t>ba74981d6755</t>
        </is>
      </c>
      <c r="B433" s="33" t="inlineStr">
        <is>
          <t>07/05/2026</t>
        </is>
      </c>
      <c r="C433" s="33" t="inlineStr">
        <is>
          <t>Water Systems Design Engineer, Data Centre Design Engineering</t>
        </is>
      </c>
      <c r="D433" s="33" t="inlineStr">
        <is>
          <t>Amazon</t>
        </is>
      </c>
      <c r="E433" s="33" t="inlineStr">
        <is>
          <t>London, UK</t>
        </is>
      </c>
      <c r="F433" s="33" t="inlineStr">
        <is>
          <t>£49,438 – £49,438</t>
        </is>
      </c>
      <c r="G433" s="33" t="inlineStr">
        <is>
          <t>Adzuna UK</t>
        </is>
      </c>
      <c r="H433" s="29" t="inlineStr">
        <is>
          <t>CONFIRMED</t>
        </is>
      </c>
      <c r="I433" s="33" t="n">
        <v>70</v>
      </c>
      <c r="J433" s="34" t="inlineStr">
        <is>
          <t>Apply Here</t>
        </is>
      </c>
      <c r="K433" s="35" t="inlineStr"/>
      <c r="L433" s="35" t="inlineStr"/>
      <c r="M433" s="35" t="inlineStr">
        <is>
          <t>Pending</t>
        </is>
      </c>
      <c r="N433" s="36" t="inlineStr"/>
      <c r="O433" s="35" t="inlineStr"/>
    </row>
    <row r="434" ht="16" customHeight="1">
      <c r="A434" s="28" t="inlineStr">
        <is>
          <t>0f038bca8c87</t>
        </is>
      </c>
      <c r="B434" s="28" t="inlineStr">
        <is>
          <t>07/05/2026</t>
        </is>
      </c>
      <c r="C434" s="28" t="inlineStr">
        <is>
          <t>Water Systems Design Engineer, Data Centre Design Engineering</t>
        </is>
      </c>
      <c r="D434" s="28" t="inlineStr">
        <is>
          <t xml:space="preserve">Amazon EU SARL </t>
        </is>
      </c>
      <c r="E434" s="28" t="inlineStr">
        <is>
          <t>London, UK</t>
        </is>
      </c>
      <c r="F434" s="28" t="inlineStr">
        <is>
          <t>£49,135 – £49,135</t>
        </is>
      </c>
      <c r="G434" s="28" t="inlineStr">
        <is>
          <t>Adzuna UK</t>
        </is>
      </c>
      <c r="H434" s="38" t="inlineStr">
        <is>
          <t>UNKNOWN</t>
        </is>
      </c>
      <c r="I434" s="28" t="n">
        <v>70</v>
      </c>
      <c r="J434" s="30" t="inlineStr">
        <is>
          <t>Apply Here</t>
        </is>
      </c>
      <c r="K434" s="31" t="inlineStr"/>
      <c r="L434" s="31" t="inlineStr"/>
      <c r="M434" s="31" t="inlineStr">
        <is>
          <t>Pending</t>
        </is>
      </c>
      <c r="N434" s="32" t="inlineStr"/>
      <c r="O434" s="31" t="inlineStr"/>
    </row>
    <row r="435" ht="16" customHeight="1">
      <c r="A435" s="33" t="inlineStr">
        <is>
          <t>2f6e1806d27f</t>
        </is>
      </c>
      <c r="B435" s="33" t="inlineStr">
        <is>
          <t>08/05/2026</t>
        </is>
      </c>
      <c r="C435" s="33" t="inlineStr">
        <is>
          <t>Wastewater Hydraulic Modeller</t>
        </is>
      </c>
      <c r="D435" s="33" t="inlineStr">
        <is>
          <t>Recruiter</t>
        </is>
      </c>
      <c r="E435" s="33" t="inlineStr">
        <is>
          <t>Reading, Berkshire</t>
        </is>
      </c>
      <c r="F435" s="33" t="inlineStr">
        <is>
          <t>£45,940 – £68,000</t>
        </is>
      </c>
      <c r="G435" s="33" t="inlineStr">
        <is>
          <t>Adzuna UK</t>
        </is>
      </c>
      <c r="H435" s="29" t="inlineStr">
        <is>
          <t>CONFIRMED</t>
        </is>
      </c>
      <c r="I435" s="33" t="n">
        <v>110</v>
      </c>
      <c r="J435" s="34" t="inlineStr">
        <is>
          <t>Apply Here</t>
        </is>
      </c>
      <c r="K435" s="35" t="inlineStr"/>
      <c r="L435" s="35" t="inlineStr"/>
      <c r="M435" s="35" t="inlineStr">
        <is>
          <t>Pending</t>
        </is>
      </c>
      <c r="N435" s="36" t="inlineStr"/>
      <c r="O435" s="35" t="inlineStr"/>
    </row>
    <row r="436" ht="16" customHeight="1">
      <c r="A436" s="28" t="inlineStr">
        <is>
          <t>779e4855badd</t>
        </is>
      </c>
      <c r="B436" s="28" t="inlineStr">
        <is>
          <t>09/05/2026</t>
        </is>
      </c>
      <c r="C436" s="28" t="inlineStr">
        <is>
          <t>Water Systems Design Engineer, Data Centre Design Engineering</t>
        </is>
      </c>
      <c r="D436" s="28" t="inlineStr">
        <is>
          <t>Amazon</t>
        </is>
      </c>
      <c r="E436" s="28" t="inlineStr">
        <is>
          <t>London, UK</t>
        </is>
      </c>
      <c r="F436" s="28" t="inlineStr">
        <is>
          <t>£51,150 – £51,150</t>
        </is>
      </c>
      <c r="G436" s="28" t="inlineStr">
        <is>
          <t>Adzuna UK</t>
        </is>
      </c>
      <c r="H436" s="29" t="inlineStr">
        <is>
          <t>CONFIRMED</t>
        </is>
      </c>
      <c r="I436" s="28" t="n">
        <v>70</v>
      </c>
      <c r="J436" s="30" t="inlineStr">
        <is>
          <t>Apply Here</t>
        </is>
      </c>
      <c r="K436" s="31" t="inlineStr"/>
      <c r="L436" s="31" t="inlineStr"/>
      <c r="M436" s="31" t="inlineStr">
        <is>
          <t>Pending</t>
        </is>
      </c>
      <c r="N436" s="32" t="inlineStr"/>
      <c r="O436" s="31" t="inlineStr"/>
    </row>
    <row r="437" ht="16" customHeight="1">
      <c r="A437" s="33" t="inlineStr">
        <is>
          <t>ccd30f1604f1</t>
        </is>
      </c>
      <c r="B437" s="33" t="inlineStr">
        <is>
          <t>12/05/2026</t>
        </is>
      </c>
      <c r="C437" s="33" t="inlineStr">
        <is>
          <t>Civil Engineer - Wastewater Infrastructure</t>
        </is>
      </c>
      <c r="D437" s="33" t="inlineStr">
        <is>
          <t>Aldwych Consulting Ltd</t>
        </is>
      </c>
      <c r="E437" s="33" t="inlineStr">
        <is>
          <t>Slough, Berkshire</t>
        </is>
      </c>
      <c r="F437" s="33" t="inlineStr">
        <is>
          <t>£40,000 – £55,000</t>
        </is>
      </c>
      <c r="G437" s="33" t="inlineStr">
        <is>
          <t>Adzuna UK</t>
        </is>
      </c>
      <c r="H437" s="29" t="inlineStr">
        <is>
          <t>CONFIRMED</t>
        </is>
      </c>
      <c r="I437" s="33" t="n">
        <v>85</v>
      </c>
      <c r="J437" s="34" t="inlineStr">
        <is>
          <t>Apply Here</t>
        </is>
      </c>
      <c r="K437" s="35" t="inlineStr"/>
      <c r="L437" s="35" t="inlineStr"/>
      <c r="M437" s="35" t="inlineStr">
        <is>
          <t>Pending</t>
        </is>
      </c>
      <c r="N437" s="36" t="inlineStr"/>
      <c r="O437" s="35" t="inlineStr"/>
    </row>
    <row r="438" ht="16" customHeight="1">
      <c r="A438" s="28" t="inlineStr">
        <is>
          <t>fbcf3a44cfce</t>
        </is>
      </c>
      <c r="B438" s="28" t="inlineStr">
        <is>
          <t>12/05/2026</t>
        </is>
      </c>
      <c r="C438" s="28" t="inlineStr">
        <is>
          <t>Civil Engineer - Wastewater Infrastructure</t>
        </is>
      </c>
      <c r="D438" s="28" t="inlineStr">
        <is>
          <t>Aldwych Consulting</t>
        </is>
      </c>
      <c r="E438" s="28" t="inlineStr">
        <is>
          <t>Chalvey, Slough</t>
        </is>
      </c>
      <c r="F438" s="28" t="inlineStr">
        <is>
          <t>£40,000 – £55,000</t>
        </is>
      </c>
      <c r="G438" s="28" t="inlineStr">
        <is>
          <t>Adzuna UK</t>
        </is>
      </c>
      <c r="H438" s="29" t="inlineStr">
        <is>
          <t>CONFIRMED</t>
        </is>
      </c>
      <c r="I438" s="28" t="n">
        <v>85</v>
      </c>
      <c r="J438" s="30" t="inlineStr">
        <is>
          <t>Apply Here</t>
        </is>
      </c>
      <c r="K438" s="31" t="inlineStr"/>
      <c r="L438" s="31" t="inlineStr"/>
      <c r="M438" s="31" t="inlineStr">
        <is>
          <t>Pending</t>
        </is>
      </c>
      <c r="N438" s="32" t="inlineStr"/>
      <c r="O438" s="31" t="inlineStr"/>
    </row>
    <row r="439" ht="16" customHeight="1">
      <c r="A439" s="33" t="inlineStr">
        <is>
          <t>26d50fa7ebd2</t>
        </is>
      </c>
      <c r="B439" s="33" t="inlineStr">
        <is>
          <t>13/05/2026</t>
        </is>
      </c>
      <c r="C439" s="33" t="inlineStr">
        <is>
          <t>Water Infrastructure Manager, AWS EMEA Energy &amp; Water Team</t>
        </is>
      </c>
      <c r="D439" s="33" t="inlineStr">
        <is>
          <t>Amazon Web Services (AWS)</t>
        </is>
      </c>
      <c r="E439" s="33" t="inlineStr">
        <is>
          <t>London, England, United Kingdom</t>
        </is>
      </c>
      <c r="F439" s="33" t="inlineStr">
        <is>
          <t>Not specified</t>
        </is>
      </c>
      <c r="G439" s="33" t="inlineStr">
        <is>
          <t>LinkedIn</t>
        </is>
      </c>
      <c r="H439" s="29" t="inlineStr">
        <is>
          <t>CONFIRMED</t>
        </is>
      </c>
      <c r="I439" s="33" t="n">
        <v>65</v>
      </c>
      <c r="J439" s="34" t="inlineStr">
        <is>
          <t>Apply Here</t>
        </is>
      </c>
      <c r="K439" s="35" t="inlineStr"/>
      <c r="L439" s="35" t="inlineStr"/>
      <c r="M439" s="35" t="inlineStr">
        <is>
          <t>Pending</t>
        </is>
      </c>
      <c r="N439" s="36" t="inlineStr"/>
      <c r="O439" s="35" t="inlineStr"/>
    </row>
    <row r="440" ht="16" customHeight="1">
      <c r="A440" s="28" t="inlineStr">
        <is>
          <t>103f84cb765f</t>
        </is>
      </c>
      <c r="B440" s="28" t="inlineStr">
        <is>
          <t>14/05/2026</t>
        </is>
      </c>
      <c r="C440" s="28" t="inlineStr">
        <is>
          <t>Civil Engineer - Wastewater Infrastructure</t>
        </is>
      </c>
      <c r="D440" s="28" t="inlineStr">
        <is>
          <t>Aldwych Consulting Ltd</t>
        </is>
      </c>
      <c r="E440" s="28" t="inlineStr">
        <is>
          <t>Slough, Berkshire</t>
        </is>
      </c>
      <c r="F440" s="28" t="inlineStr">
        <is>
          <t>£55,000 – £55,000</t>
        </is>
      </c>
      <c r="G440" s="28" t="inlineStr">
        <is>
          <t>Adzuna UK</t>
        </is>
      </c>
      <c r="H440" s="29" t="inlineStr">
        <is>
          <t>CONFIRMED</t>
        </is>
      </c>
      <c r="I440" s="28" t="n">
        <v>85</v>
      </c>
      <c r="J440" s="30" t="inlineStr">
        <is>
          <t>Apply Here</t>
        </is>
      </c>
      <c r="K440" s="31" t="inlineStr"/>
      <c r="L440" s="31" t="inlineStr"/>
      <c r="M440" s="31" t="inlineStr">
        <is>
          <t>Pending</t>
        </is>
      </c>
      <c r="N440" s="32" t="inlineStr"/>
      <c r="O440" s="31" t="inlineStr"/>
    </row>
    <row r="441" ht="16" customHeight="1">
      <c r="A441" s="33" t="inlineStr">
        <is>
          <t>fd895c339a60</t>
        </is>
      </c>
      <c r="B441" s="33" t="inlineStr">
        <is>
          <t>14/05/2026</t>
        </is>
      </c>
      <c r="C441" s="33" t="inlineStr">
        <is>
          <t>Clean Water (Hydraulic) Modeller</t>
        </is>
      </c>
      <c r="D441" s="33" t="inlineStr">
        <is>
          <t>Tetra Tech Europe</t>
        </is>
      </c>
      <c r="E441" s="33" t="inlineStr">
        <is>
          <t>Brighton, England, United Kingdom</t>
        </is>
      </c>
      <c r="F441" s="33" t="inlineStr">
        <is>
          <t>Not specified</t>
        </is>
      </c>
      <c r="G441" s="33" t="inlineStr">
        <is>
          <t>LinkedIn</t>
        </is>
      </c>
      <c r="H441" s="29" t="inlineStr">
        <is>
          <t>CONFIRMED</t>
        </is>
      </c>
      <c r="I441" s="33" t="n">
        <v>65</v>
      </c>
      <c r="J441" s="34" t="inlineStr">
        <is>
          <t>Apply Here</t>
        </is>
      </c>
      <c r="K441" s="35" t="inlineStr"/>
      <c r="L441" s="35" t="inlineStr"/>
      <c r="M441" s="35" t="inlineStr">
        <is>
          <t>Pending</t>
        </is>
      </c>
      <c r="N441" s="36" t="inlineStr"/>
      <c r="O441" s="35" t="inlineStr"/>
    </row>
    <row r="442" ht="16" customHeight="1">
      <c r="A442" s="28" t="inlineStr">
        <is>
          <t>fb19a9032563</t>
        </is>
      </c>
      <c r="B442" s="28" t="inlineStr">
        <is>
          <t>14/05/2026</t>
        </is>
      </c>
      <c r="C442" s="28" t="inlineStr">
        <is>
          <t>Water Infrastructure Manager, AWS EMEA Energy &amp; Water Team</t>
        </is>
      </c>
      <c r="D442" s="28" t="inlineStr">
        <is>
          <t>myGwork - LGBTQ+ Business Community</t>
        </is>
      </c>
      <c r="E442" s="28" t="inlineStr">
        <is>
          <t>London, England, United Kingdom</t>
        </is>
      </c>
      <c r="F442" s="28" t="inlineStr">
        <is>
          <t>Not specified</t>
        </is>
      </c>
      <c r="G442" s="28" t="inlineStr">
        <is>
          <t>LinkedIn</t>
        </is>
      </c>
      <c r="H442" s="29" t="inlineStr">
        <is>
          <t>CONFIRMED</t>
        </is>
      </c>
      <c r="I442" s="28" t="n">
        <v>65</v>
      </c>
      <c r="J442" s="30" t="inlineStr">
        <is>
          <t>Apply Here</t>
        </is>
      </c>
      <c r="K442" s="31" t="inlineStr"/>
      <c r="L442" s="31" t="inlineStr"/>
      <c r="M442" s="31" t="inlineStr">
        <is>
          <t>Pending</t>
        </is>
      </c>
      <c r="N442" s="32" t="inlineStr"/>
      <c r="O442" s="31" t="inlineStr"/>
    </row>
    <row r="443" ht="16" customHeight="1">
      <c r="A443" s="33" t="inlineStr">
        <is>
          <t>9c8080a790a0</t>
        </is>
      </c>
      <c r="B443" s="33" t="inlineStr">
        <is>
          <t>14/05/2026</t>
        </is>
      </c>
      <c r="C443" s="33" t="inlineStr">
        <is>
          <t>Wastewater (Hydraulic) Modeller</t>
        </is>
      </c>
      <c r="D443" s="33" t="inlineStr">
        <is>
          <t>Tetra Tech Europe</t>
        </is>
      </c>
      <c r="E443" s="33" t="inlineStr">
        <is>
          <t>London, England, United Kingdom</t>
        </is>
      </c>
      <c r="F443" s="33" t="inlineStr">
        <is>
          <t>Not specified</t>
        </is>
      </c>
      <c r="G443" s="33" t="inlineStr">
        <is>
          <t>LinkedIn</t>
        </is>
      </c>
      <c r="H443" s="29" t="inlineStr">
        <is>
          <t>CONFIRMED</t>
        </is>
      </c>
      <c r="I443" s="33" t="n">
        <v>50</v>
      </c>
      <c r="J443" s="34" t="inlineStr">
        <is>
          <t>Apply Here</t>
        </is>
      </c>
      <c r="K443" s="35" t="inlineStr"/>
      <c r="L443" s="35" t="inlineStr"/>
      <c r="M443" s="35" t="inlineStr">
        <is>
          <t>Pending</t>
        </is>
      </c>
      <c r="N443" s="36" t="inlineStr"/>
      <c r="O443" s="35" t="inlineStr"/>
    </row>
    <row r="444" ht="16" customHeight="1">
      <c r="A444" s="28" t="inlineStr">
        <is>
          <t>050bb806e93f</t>
        </is>
      </c>
      <c r="B444" s="28" t="inlineStr">
        <is>
          <t>19/05/2026</t>
        </is>
      </c>
      <c r="C444" s="28" t="inlineStr">
        <is>
          <t>Hydraulic Modeller (Flood Risk Management)</t>
        </is>
      </c>
      <c r="D444" s="28" t="inlineStr">
        <is>
          <t>Jacobs</t>
        </is>
      </c>
      <c r="E444" s="28" t="inlineStr">
        <is>
          <t>Wokingham, Berkshire</t>
        </is>
      </c>
      <c r="F444" s="28" t="inlineStr">
        <is>
          <t>£37,427 – £37,427</t>
        </is>
      </c>
      <c r="G444" s="28" t="inlineStr">
        <is>
          <t>Adzuna UK</t>
        </is>
      </c>
      <c r="H444" s="29" t="inlineStr">
        <is>
          <t>CONFIRMED</t>
        </is>
      </c>
      <c r="I444" s="28" t="n">
        <v>125</v>
      </c>
      <c r="J444" s="30" t="inlineStr">
        <is>
          <t>Apply Here</t>
        </is>
      </c>
      <c r="K444" s="31" t="inlineStr"/>
      <c r="L444" s="31" t="inlineStr"/>
      <c r="M444" s="31" t="inlineStr">
        <is>
          <t>Pending</t>
        </is>
      </c>
      <c r="N444" s="32" t="inlineStr"/>
      <c r="O444" s="31" t="inlineStr"/>
    </row>
    <row r="445" ht="16" customHeight="1">
      <c r="A445" s="33" t="inlineStr">
        <is>
          <t>e52c63dc6e00</t>
        </is>
      </c>
      <c r="B445" s="33" t="inlineStr">
        <is>
          <t>20/05/2026</t>
        </is>
      </c>
      <c r="C445" s="33" t="inlineStr">
        <is>
          <t>Design Manager - (Water Civil Engineering)</t>
        </is>
      </c>
      <c r="D445" s="33" t="inlineStr">
        <is>
          <t>. WSP</t>
        </is>
      </c>
      <c r="E445" s="33" t="inlineStr">
        <is>
          <t>Reading, Berkshire</t>
        </is>
      </c>
      <c r="F445" s="33" t="inlineStr">
        <is>
          <t>£50,693 – £50,693</t>
        </is>
      </c>
      <c r="G445" s="33" t="inlineStr">
        <is>
          <t>Adzuna UK</t>
        </is>
      </c>
      <c r="H445" s="29" t="inlineStr">
        <is>
          <t>CONFIRMED</t>
        </is>
      </c>
      <c r="I445" s="33" t="n">
        <v>70</v>
      </c>
      <c r="J445" s="34" t="inlineStr">
        <is>
          <t>Apply Here</t>
        </is>
      </c>
      <c r="K445" s="35" t="inlineStr"/>
      <c r="L445" s="35" t="inlineStr"/>
      <c r="M445" s="35" t="inlineStr">
        <is>
          <t>Pending</t>
        </is>
      </c>
      <c r="N445" s="36" t="inlineStr"/>
      <c r="O445" s="35" t="inlineStr"/>
    </row>
    <row r="446" ht="16" customHeight="1">
      <c r="A446" s="28" t="inlineStr">
        <is>
          <t>d63d7294d356</t>
        </is>
      </c>
      <c r="B446" s="28" t="inlineStr">
        <is>
          <t>22/05/2026</t>
        </is>
      </c>
      <c r="C446" s="28" t="inlineStr">
        <is>
          <t>Hydraulic Modeller- London</t>
        </is>
      </c>
      <c r="D446" s="28" t="inlineStr">
        <is>
          <t>Aztrum</t>
        </is>
      </c>
      <c r="E446" s="28" t="inlineStr">
        <is>
          <t>Farringdon, Central London</t>
        </is>
      </c>
      <c r="F446" s="28" t="inlineStr">
        <is>
          <t>£35,000 – £45,000</t>
        </is>
      </c>
      <c r="G446" s="28" t="inlineStr">
        <is>
          <t>Adzuna UK</t>
        </is>
      </c>
      <c r="H446" s="29" t="inlineStr">
        <is>
          <t>CONFIRMED</t>
        </is>
      </c>
      <c r="I446" s="28" t="n">
        <v>150</v>
      </c>
      <c r="J446" s="30" t="inlineStr">
        <is>
          <t>Apply Here</t>
        </is>
      </c>
      <c r="K446" s="31" t="inlineStr"/>
      <c r="L446" s="31" t="inlineStr"/>
      <c r="M446" s="31" t="inlineStr">
        <is>
          <t>Pending</t>
        </is>
      </c>
      <c r="N446" s="32" t="inlineStr"/>
      <c r="O446" s="31" t="inlineStr"/>
    </row>
    <row r="447" ht="16" customHeight="1">
      <c r="A447" s="33" t="inlineStr">
        <is>
          <t>b47f30c431e8</t>
        </is>
      </c>
      <c r="B447" s="33" t="inlineStr">
        <is>
          <t>22/05/2026</t>
        </is>
      </c>
      <c r="C447" s="33" t="inlineStr">
        <is>
          <t>Associate- Water Infrastructure</t>
        </is>
      </c>
      <c r="D447" s="33" t="inlineStr">
        <is>
          <t>Arup</t>
        </is>
      </c>
      <c r="E447" s="33" t="inlineStr">
        <is>
          <t>Manchester, England, United Kingdom</t>
        </is>
      </c>
      <c r="F447" s="33" t="inlineStr">
        <is>
          <t>Not specified</t>
        </is>
      </c>
      <c r="G447" s="33" t="inlineStr">
        <is>
          <t>LinkedIn</t>
        </is>
      </c>
      <c r="H447" s="29" t="inlineStr">
        <is>
          <t>CONFIRMED</t>
        </is>
      </c>
      <c r="I447" s="33" t="n">
        <v>65</v>
      </c>
      <c r="J447" s="34" t="inlineStr">
        <is>
          <t>Apply Here</t>
        </is>
      </c>
      <c r="K447" s="35" t="inlineStr"/>
      <c r="L447" s="35" t="inlineStr"/>
      <c r="M447" s="35" t="inlineStr">
        <is>
          <t>Pending</t>
        </is>
      </c>
      <c r="N447" s="36" t="inlineStr"/>
      <c r="O447" s="35" t="inlineStr"/>
    </row>
    <row r="448" ht="16" customHeight="1">
      <c r="A448" s="28" t="inlineStr">
        <is>
          <t>7e614d852700</t>
        </is>
      </c>
      <c r="B448" s="28" t="inlineStr">
        <is>
          <t>23/05/2026</t>
        </is>
      </c>
      <c r="C448" s="28" t="inlineStr">
        <is>
          <t>Wastewater Hydraulic Modeller</t>
        </is>
      </c>
      <c r="D448" s="28" t="inlineStr">
        <is>
          <t>Pertemps Thames Water</t>
        </is>
      </c>
      <c r="E448" s="28" t="inlineStr">
        <is>
          <t>Reading, Berkshire</t>
        </is>
      </c>
      <c r="F448" s="28" t="inlineStr">
        <is>
          <t>£45,940 – £68,000</t>
        </is>
      </c>
      <c r="G448" s="28" t="inlineStr">
        <is>
          <t>Adzuna UK</t>
        </is>
      </c>
      <c r="H448" s="38" t="inlineStr">
        <is>
          <t>UNKNOWN</t>
        </is>
      </c>
      <c r="I448" s="28" t="n">
        <v>110</v>
      </c>
      <c r="J448" s="30" t="inlineStr">
        <is>
          <t>Apply Here</t>
        </is>
      </c>
      <c r="K448" s="31" t="inlineStr"/>
      <c r="L448" s="31" t="inlineStr"/>
      <c r="M448" s="31" t="inlineStr">
        <is>
          <t>Pending</t>
        </is>
      </c>
      <c r="N448" s="32" t="inlineStr"/>
      <c r="O448" s="31" t="inlineStr"/>
    </row>
    <row r="449" ht="16" customHeight="1">
      <c r="A449" s="33" t="inlineStr">
        <is>
          <t>393ede20b127</t>
        </is>
      </c>
      <c r="B449" s="33" t="inlineStr">
        <is>
          <t>24/05/2026</t>
        </is>
      </c>
      <c r="C449" s="33" t="inlineStr">
        <is>
          <t>Hydraulic Modeller- London</t>
        </is>
      </c>
      <c r="D449" s="33" t="inlineStr">
        <is>
          <t>Aztrum</t>
        </is>
      </c>
      <c r="E449" s="33" t="inlineStr">
        <is>
          <t>The City, Central London</t>
        </is>
      </c>
      <c r="F449" s="33" t="inlineStr">
        <is>
          <t>£43,674 – £43,674</t>
        </is>
      </c>
      <c r="G449" s="33" t="inlineStr">
        <is>
          <t>Adzuna UK</t>
        </is>
      </c>
      <c r="H449" s="29" t="inlineStr">
        <is>
          <t>CONFIRMED</t>
        </is>
      </c>
      <c r="I449" s="33" t="n">
        <v>150</v>
      </c>
      <c r="J449" s="34" t="inlineStr">
        <is>
          <t>Apply Here</t>
        </is>
      </c>
      <c r="K449" s="35" t="inlineStr"/>
      <c r="L449" s="35" t="inlineStr"/>
      <c r="M449" s="35" t="inlineStr">
        <is>
          <t>Pending</t>
        </is>
      </c>
      <c r="N449" s="36" t="inlineStr"/>
      <c r="O449" s="35" t="inlineStr"/>
    </row>
    <row r="450" ht="16" customHeight="1">
      <c r="A450" s="28" t="inlineStr">
        <is>
          <t>771dd63ab042</t>
        </is>
      </c>
      <c r="B450" s="28" t="inlineStr">
        <is>
          <t>24/05/2026</t>
        </is>
      </c>
      <c r="C450" s="28" t="inlineStr">
        <is>
          <t>Wastewater Hydraulic Modeller</t>
        </is>
      </c>
      <c r="D450" s="28" t="inlineStr">
        <is>
          <t>Recruiter</t>
        </is>
      </c>
      <c r="E450" s="28" t="inlineStr">
        <is>
          <t>Reading, Berkshire</t>
        </is>
      </c>
      <c r="F450" s="28" t="inlineStr">
        <is>
          <t>£45,940 – £68,000</t>
        </is>
      </c>
      <c r="G450" s="28" t="inlineStr">
        <is>
          <t>Adzuna UK</t>
        </is>
      </c>
      <c r="H450" s="29" t="inlineStr">
        <is>
          <t>CONFIRMED</t>
        </is>
      </c>
      <c r="I450" s="28" t="n">
        <v>110</v>
      </c>
      <c r="J450" s="30" t="inlineStr">
        <is>
          <t>Apply Here</t>
        </is>
      </c>
      <c r="K450" s="31" t="inlineStr"/>
      <c r="L450" s="31" t="inlineStr"/>
      <c r="M450" s="31" t="inlineStr">
        <is>
          <t>Pending</t>
        </is>
      </c>
      <c r="N450" s="32" t="inlineStr"/>
      <c r="O450" s="31" t="inlineStr"/>
    </row>
    <row r="451" ht="16" customHeight="1">
      <c r="A451" s="33" t="inlineStr">
        <is>
          <t>e858138a587a</t>
        </is>
      </c>
      <c r="B451" s="33" t="inlineStr">
        <is>
          <t>24/05/2026</t>
        </is>
      </c>
      <c r="C451" s="33" t="inlineStr">
        <is>
          <t>Wastewater Network Modeller</t>
        </is>
      </c>
      <c r="D451" s="33" t="inlineStr">
        <is>
          <t>Mott MacDonald</t>
        </is>
      </c>
      <c r="E451" s="33" t="inlineStr">
        <is>
          <t>Cardiff, Wales, United Kingdom</t>
        </is>
      </c>
      <c r="F451" s="33" t="inlineStr">
        <is>
          <t>Not specified</t>
        </is>
      </c>
      <c r="G451" s="33" t="inlineStr">
        <is>
          <t>LinkedIn</t>
        </is>
      </c>
      <c r="H451" s="29" t="inlineStr">
        <is>
          <t>CONFIRMED</t>
        </is>
      </c>
      <c r="I451" s="33" t="n">
        <v>50</v>
      </c>
      <c r="J451" s="34" t="inlineStr">
        <is>
          <t>Apply Here</t>
        </is>
      </c>
      <c r="K451" s="35" t="inlineStr"/>
      <c r="L451" s="35" t="inlineStr"/>
      <c r="M451" s="35" t="inlineStr">
        <is>
          <t>Pending</t>
        </is>
      </c>
      <c r="N451" s="36" t="inlineStr"/>
      <c r="O451" s="35" t="inlineStr"/>
    </row>
    <row r="452" ht="16" customHeight="1">
      <c r="A452" s="28" t="inlineStr">
        <is>
          <t>f0da09a65c5b</t>
        </is>
      </c>
      <c r="B452" s="28" t="inlineStr">
        <is>
          <t>25/05/2026</t>
        </is>
      </c>
      <c r="C452" s="28" t="inlineStr">
        <is>
          <t>Wastewater Hydraulic Modeller</t>
        </is>
      </c>
      <c r="D452" s="28" t="inlineStr">
        <is>
          <t>Thames Water</t>
        </is>
      </c>
      <c r="E452" s="28" t="inlineStr">
        <is>
          <t>Pingewood, Reading</t>
        </is>
      </c>
      <c r="F452" s="28" t="inlineStr">
        <is>
          <t>£45,940 – £68,000</t>
        </is>
      </c>
      <c r="G452" s="28" t="inlineStr">
        <is>
          <t>Adzuna UK</t>
        </is>
      </c>
      <c r="H452" s="29" t="inlineStr">
        <is>
          <t>CONFIRMED</t>
        </is>
      </c>
      <c r="I452" s="28" t="n">
        <v>110</v>
      </c>
      <c r="J452" s="30" t="inlineStr">
        <is>
          <t>Apply Here</t>
        </is>
      </c>
      <c r="K452" s="31" t="inlineStr"/>
      <c r="L452" s="31" t="inlineStr"/>
      <c r="M452" s="31" t="inlineStr">
        <is>
          <t>Pending</t>
        </is>
      </c>
      <c r="N452" s="32" t="inlineStr"/>
      <c r="O452" s="31" t="inlineStr"/>
    </row>
    <row r="453" ht="16" customHeight="1">
      <c r="A453" s="33" t="inlineStr">
        <is>
          <t>98a55b0735f9</t>
        </is>
      </c>
      <c r="B453" s="33" t="inlineStr">
        <is>
          <t>27/05/2026</t>
        </is>
      </c>
      <c r="C453" s="33" t="inlineStr">
        <is>
          <t>Hydraulic Modeller</t>
        </is>
      </c>
      <c r="D453" s="33" t="inlineStr">
        <is>
          <t>Pick Everard</t>
        </is>
      </c>
      <c r="E453" s="33" t="inlineStr">
        <is>
          <t>Leicester, England, United Kingdom</t>
        </is>
      </c>
      <c r="F453" s="33" t="inlineStr">
        <is>
          <t>Not specified</t>
        </is>
      </c>
      <c r="G453" s="33" t="inlineStr">
        <is>
          <t>LinkedIn</t>
        </is>
      </c>
      <c r="H453" s="29" t="inlineStr">
        <is>
          <t>CONFIRMED</t>
        </is>
      </c>
      <c r="I453" s="33" t="n">
        <v>90</v>
      </c>
      <c r="J453" s="34" t="inlineStr">
        <is>
          <t>Apply Here</t>
        </is>
      </c>
      <c r="K453" s="35" t="inlineStr"/>
      <c r="L453" s="35" t="inlineStr"/>
      <c r="M453" s="35" t="inlineStr">
        <is>
          <t>Pending</t>
        </is>
      </c>
      <c r="N453" s="36" t="inlineStr"/>
      <c r="O453" s="35" t="inlineStr"/>
    </row>
    <row r="454" ht="16" customHeight="1">
      <c r="A454" s="28" t="inlineStr">
        <is>
          <t>f335486a7fcc</t>
        </is>
      </c>
      <c r="B454" s="28" t="inlineStr">
        <is>
          <t>28/05/2026</t>
        </is>
      </c>
      <c r="C454" s="28" t="inlineStr">
        <is>
          <t>Water Systems Design Engineer, Data Centre Design Engineering</t>
        </is>
      </c>
      <c r="D454" s="28" t="inlineStr">
        <is>
          <t>Amazon Web Services (AWS)</t>
        </is>
      </c>
      <c r="E454" s="28" t="inlineStr">
        <is>
          <t>London, England, United Kingdom</t>
        </is>
      </c>
      <c r="F454" s="28" t="inlineStr">
        <is>
          <t>Not specified</t>
        </is>
      </c>
      <c r="G454" s="28" t="inlineStr">
        <is>
          <t>LinkedIn</t>
        </is>
      </c>
      <c r="H454" s="29" t="inlineStr">
        <is>
          <t>CONFIRMED</t>
        </is>
      </c>
      <c r="I454" s="28" t="n">
        <v>50</v>
      </c>
      <c r="J454" s="30" t="inlineStr">
        <is>
          <t>Apply Here</t>
        </is>
      </c>
      <c r="K454" s="31" t="inlineStr"/>
      <c r="L454" s="31" t="inlineStr"/>
      <c r="M454" s="31" t="inlineStr">
        <is>
          <t>Pending</t>
        </is>
      </c>
      <c r="N454" s="32" t="inlineStr"/>
      <c r="O454" s="31" t="inlineStr"/>
    </row>
    <row r="455" ht="16" customHeight="1">
      <c r="A455" s="33" t="inlineStr">
        <is>
          <t>249f092a2cbf</t>
        </is>
      </c>
      <c r="B455" s="33" t="inlineStr">
        <is>
          <t>30/05/2026</t>
        </is>
      </c>
      <c r="C455" s="33" t="inlineStr">
        <is>
          <t>Civil Engineer - Wastewater Infrastructure</t>
        </is>
      </c>
      <c r="D455" s="33" t="inlineStr">
        <is>
          <t>Aldwych Consulting Ltd</t>
        </is>
      </c>
      <c r="E455" s="33" t="inlineStr">
        <is>
          <t>Hampshire, England, United Kingdom</t>
        </is>
      </c>
      <c r="F455" s="33" t="inlineStr">
        <is>
          <t>Not specified</t>
        </is>
      </c>
      <c r="G455" s="33" t="inlineStr">
        <is>
          <t>LinkedIn</t>
        </is>
      </c>
      <c r="H455" s="29" t="inlineStr">
        <is>
          <t>CONFIRMED</t>
        </is>
      </c>
      <c r="I455" s="33" t="n">
        <v>65</v>
      </c>
      <c r="J455" s="34" t="inlineStr">
        <is>
          <t>Apply Here</t>
        </is>
      </c>
      <c r="K455" s="35" t="inlineStr"/>
      <c r="L455" s="35" t="inlineStr"/>
      <c r="M455" s="35" t="inlineStr">
        <is>
          <t>Pending</t>
        </is>
      </c>
      <c r="N455" s="36" t="inlineStr"/>
      <c r="O455" s="35" t="inlineStr"/>
    </row>
    <row r="456" ht="16" customHeight="1">
      <c r="A456" s="28" t="inlineStr">
        <is>
          <t>adc294b60d0a</t>
        </is>
      </c>
      <c r="B456" s="28" t="inlineStr">
        <is>
          <t>30/05/2026</t>
        </is>
      </c>
      <c r="C456" s="28" t="inlineStr">
        <is>
          <t>Civil Design Engineer - Water Industry</t>
        </is>
      </c>
      <c r="D456" s="28" t="inlineStr">
        <is>
          <t>Tetra Tech Europe</t>
        </is>
      </c>
      <c r="E456" s="28" t="inlineStr">
        <is>
          <t>Brighton, England, United Kingdom</t>
        </is>
      </c>
      <c r="F456" s="28" t="inlineStr">
        <is>
          <t>Not specified</t>
        </is>
      </c>
      <c r="G456" s="28" t="inlineStr">
        <is>
          <t>LinkedIn</t>
        </is>
      </c>
      <c r="H456" s="29" t="inlineStr">
        <is>
          <t>CONFIRMED</t>
        </is>
      </c>
      <c r="I456" s="28" t="n">
        <v>50</v>
      </c>
      <c r="J456" s="30" t="inlineStr">
        <is>
          <t>Apply Here</t>
        </is>
      </c>
      <c r="K456" s="31" t="inlineStr"/>
      <c r="L456" s="31" t="inlineStr"/>
      <c r="M456" s="31" t="inlineStr">
        <is>
          <t>Pending</t>
        </is>
      </c>
      <c r="N456" s="32" t="inlineStr"/>
      <c r="O456" s="31" t="inlineStr"/>
    </row>
    <row r="457" ht="16" customHeight="1">
      <c r="A457" s="33" t="inlineStr">
        <is>
          <t>bdd4cd4c17c3</t>
        </is>
      </c>
      <c r="B457" s="33" t="inlineStr">
        <is>
          <t>30/05/2026</t>
        </is>
      </c>
      <c r="C457" s="33" t="inlineStr">
        <is>
          <t>Water Networks Modeller</t>
        </is>
      </c>
      <c r="D457" s="33" t="inlineStr">
        <is>
          <t>Stantec</t>
        </is>
      </c>
      <c r="E457" s="33" t="inlineStr">
        <is>
          <t>Leeds, England, United Kingdom</t>
        </is>
      </c>
      <c r="F457" s="33" t="inlineStr">
        <is>
          <t>Not specified</t>
        </is>
      </c>
      <c r="G457" s="33" t="inlineStr">
        <is>
          <t>LinkedIn</t>
        </is>
      </c>
      <c r="H457" s="29" t="inlineStr">
        <is>
          <t>CONFIRMED</t>
        </is>
      </c>
      <c r="I457" s="33" t="n">
        <v>50</v>
      </c>
      <c r="J457" s="34" t="inlineStr">
        <is>
          <t>Apply Here</t>
        </is>
      </c>
      <c r="K457" s="35" t="inlineStr"/>
      <c r="L457" s="35" t="inlineStr"/>
      <c r="M457" s="35" t="inlineStr">
        <is>
          <t>Pending</t>
        </is>
      </c>
      <c r="N457" s="36" t="inlineStr"/>
      <c r="O457" s="35" t="inlineStr"/>
    </row>
    <row r="458" ht="16" customHeight="1">
      <c r="A458" s="28" t="inlineStr">
        <is>
          <t>d319818fcec2</t>
        </is>
      </c>
      <c r="B458" s="28" t="inlineStr">
        <is>
          <t>30/05/2026</t>
        </is>
      </c>
      <c r="C458" s="28" t="inlineStr">
        <is>
          <t>Hydraulic / Flood Modeller</t>
        </is>
      </c>
      <c r="D458" s="28" t="inlineStr">
        <is>
          <t>Calibre Search</t>
        </is>
      </c>
      <c r="E458" s="28" t="inlineStr">
        <is>
          <t>Bishopsgate, Central London</t>
        </is>
      </c>
      <c r="F458" s="28" t="inlineStr">
        <is>
          <t>£28,000 – £40,000</t>
        </is>
      </c>
      <c r="G458" s="28" t="inlineStr">
        <is>
          <t>Adzuna UK</t>
        </is>
      </c>
      <c r="H458" s="38" t="inlineStr">
        <is>
          <t>UNKNOWN</t>
        </is>
      </c>
      <c r="I458" s="28" t="n">
        <v>50</v>
      </c>
      <c r="J458" s="30" t="inlineStr">
        <is>
          <t>Apply Here</t>
        </is>
      </c>
      <c r="K458" s="31" t="inlineStr"/>
      <c r="L458" s="31" t="inlineStr"/>
      <c r="M458" s="31" t="inlineStr">
        <is>
          <t>Pending</t>
        </is>
      </c>
      <c r="N458" s="32" t="inlineStr"/>
      <c r="O458" s="31" t="inlineStr"/>
    </row>
    <row r="459" ht="16" customHeight="1">
      <c r="A459" s="33" t="inlineStr">
        <is>
          <t>a6af65ef7551</t>
        </is>
      </c>
      <c r="B459" s="33" t="inlineStr">
        <is>
          <t>01/06/2026</t>
        </is>
      </c>
      <c r="C459" s="33" t="inlineStr">
        <is>
          <t>Water Networks Modeller</t>
        </is>
      </c>
      <c r="D459" s="33" t="inlineStr">
        <is>
          <t>Stantec</t>
        </is>
      </c>
      <c r="E459" s="33" t="inlineStr">
        <is>
          <t>High Wycombe, Buckinghamshire</t>
        </is>
      </c>
      <c r="F459" s="33" t="inlineStr">
        <is>
          <t>£49,205 – £49,205</t>
        </is>
      </c>
      <c r="G459" s="33" t="inlineStr">
        <is>
          <t>Adzuna UK</t>
        </is>
      </c>
      <c r="H459" s="29" t="inlineStr">
        <is>
          <t>CONFIRMED</t>
        </is>
      </c>
      <c r="I459" s="33" t="n">
        <v>70</v>
      </c>
      <c r="J459" s="34" t="inlineStr">
        <is>
          <t>Apply Here</t>
        </is>
      </c>
      <c r="K459" s="35" t="inlineStr"/>
      <c r="L459" s="35" t="inlineStr"/>
      <c r="M459" s="35" t="inlineStr">
        <is>
          <t>Pending</t>
        </is>
      </c>
      <c r="N459" s="36" t="inlineStr"/>
      <c r="O459" s="35" t="inlineStr"/>
    </row>
    <row r="460" ht="16" customHeight="1">
      <c r="A460" s="28" t="inlineStr">
        <is>
          <t>4f277857c788</t>
        </is>
      </c>
      <c r="B460" s="28" t="inlineStr">
        <is>
          <t>01/06/2026</t>
        </is>
      </c>
      <c r="C460" s="28" t="inlineStr">
        <is>
          <t>Hydraulic / Flood Modeller</t>
        </is>
      </c>
      <c r="D460" s="28" t="inlineStr">
        <is>
          <t>Calibre Search</t>
        </is>
      </c>
      <c r="E460" s="28" t="inlineStr">
        <is>
          <t>London, UK</t>
        </is>
      </c>
      <c r="F460" s="28" t="inlineStr">
        <is>
          <t>£28,000 – £40,000</t>
        </is>
      </c>
      <c r="G460" s="28" t="inlineStr">
        <is>
          <t>Adzuna UK</t>
        </is>
      </c>
      <c r="H460" s="38" t="inlineStr">
        <is>
          <t>UNKNOWN</t>
        </is>
      </c>
      <c r="I460" s="28" t="n">
        <v>50</v>
      </c>
      <c r="J460" s="30" t="inlineStr">
        <is>
          <t>Apply Here</t>
        </is>
      </c>
      <c r="K460" s="31" t="inlineStr"/>
      <c r="L460" s="31" t="inlineStr"/>
      <c r="M460" s="31" t="inlineStr">
        <is>
          <t>Pending</t>
        </is>
      </c>
      <c r="N460" s="32" t="inlineStr"/>
      <c r="O460" s="31" t="inlineStr"/>
    </row>
    <row r="461" ht="16" customHeight="1">
      <c r="A461" s="33" t="inlineStr">
        <is>
          <t>bcbd55d11cc3</t>
        </is>
      </c>
      <c r="B461" s="33" t="inlineStr">
        <is>
          <t>03/06/2026</t>
        </is>
      </c>
      <c r="C461" s="33" t="inlineStr">
        <is>
          <t>(Water) Civil Design Engineers / Engineers - North West / Various Locations and Various Levels</t>
        </is>
      </c>
      <c r="D461" s="33" t="inlineStr">
        <is>
          <t>Tetra Tech Europe</t>
        </is>
      </c>
      <c r="E461" s="33" t="inlineStr">
        <is>
          <t>Manchester, England, United Kingdom</t>
        </is>
      </c>
      <c r="F461" s="33" t="inlineStr">
        <is>
          <t>Not specified</t>
        </is>
      </c>
      <c r="G461" s="33" t="inlineStr">
        <is>
          <t>LinkedIn</t>
        </is>
      </c>
      <c r="H461" s="29" t="inlineStr">
        <is>
          <t>CONFIRMED</t>
        </is>
      </c>
      <c r="I461" s="33" t="n">
        <v>50</v>
      </c>
      <c r="J461" s="34" t="inlineStr">
        <is>
          <t>Apply Here</t>
        </is>
      </c>
      <c r="K461" s="35" t="inlineStr"/>
      <c r="L461" s="35" t="inlineStr"/>
      <c r="M461" s="35" t="inlineStr">
        <is>
          <t>Pending</t>
        </is>
      </c>
      <c r="N461" s="36" t="inlineStr"/>
      <c r="O461" s="35" t="inlineStr"/>
    </row>
    <row r="462" ht="16" customHeight="1">
      <c r="A462" s="28" t="inlineStr">
        <is>
          <t>001e77bc2182</t>
        </is>
      </c>
      <c r="B462" s="28" t="inlineStr">
        <is>
          <t>04/06/2026</t>
        </is>
      </c>
      <c r="C462" s="28" t="inlineStr">
        <is>
          <t>Civil Engineer - Wastewater Infrastructure</t>
        </is>
      </c>
      <c r="D462" s="28" t="inlineStr">
        <is>
          <t>ALDWYCH CONSULTING LTD</t>
        </is>
      </c>
      <c r="E462" s="28" t="inlineStr">
        <is>
          <t>Slough, Berkshire</t>
        </is>
      </c>
      <c r="F462" s="28" t="inlineStr">
        <is>
          <t>£55,000 – £55,000</t>
        </is>
      </c>
      <c r="G462" s="28" t="inlineStr">
        <is>
          <t>Adzuna UK</t>
        </is>
      </c>
      <c r="H462" s="29" t="inlineStr">
        <is>
          <t>CONFIRMED</t>
        </is>
      </c>
      <c r="I462" s="28" t="n">
        <v>85</v>
      </c>
      <c r="J462" s="30" t="inlineStr">
        <is>
          <t>Apply Here</t>
        </is>
      </c>
      <c r="K462" s="31" t="inlineStr"/>
      <c r="L462" s="31" t="inlineStr"/>
      <c r="M462" s="31" t="inlineStr">
        <is>
          <t>Pending</t>
        </is>
      </c>
      <c r="N462" s="32" t="inlineStr"/>
      <c r="O462" s="31" t="inlineStr"/>
    </row>
    <row r="463" ht="16" customHeight="1">
      <c r="A463" s="33" t="inlineStr">
        <is>
          <t>ff823ff01be3</t>
        </is>
      </c>
      <c r="B463" s="33" t="inlineStr">
        <is>
          <t>04/06/2026</t>
        </is>
      </c>
      <c r="C463" s="33" t="inlineStr">
        <is>
          <t>Associate- Water Infrastructure</t>
        </is>
      </c>
      <c r="D463" s="33" t="inlineStr">
        <is>
          <t>Arup</t>
        </is>
      </c>
      <c r="E463" s="33" t="inlineStr">
        <is>
          <t>Liverpool, England, United Kingdom</t>
        </is>
      </c>
      <c r="F463" s="33" t="inlineStr">
        <is>
          <t>Not specified</t>
        </is>
      </c>
      <c r="G463" s="33" t="inlineStr">
        <is>
          <t>LinkedIn</t>
        </is>
      </c>
      <c r="H463" s="29" t="inlineStr">
        <is>
          <t>CONFIRMED</t>
        </is>
      </c>
      <c r="I463" s="33" t="n">
        <v>65</v>
      </c>
      <c r="J463" s="34" t="inlineStr">
        <is>
          <t>Apply Here</t>
        </is>
      </c>
      <c r="K463" s="35" t="inlineStr"/>
      <c r="L463" s="35" t="inlineStr"/>
      <c r="M463" s="35" t="inlineStr">
        <is>
          <t>Pending</t>
        </is>
      </c>
      <c r="N463" s="36" t="inlineStr"/>
      <c r="O463" s="35" t="inlineStr"/>
    </row>
    <row r="464" ht="16" customHeight="1">
      <c r="A464" s="28" t="inlineStr">
        <is>
          <t>9c506934ea3d</t>
        </is>
      </c>
      <c r="B464" s="28" t="inlineStr">
        <is>
          <t>04/06/2026</t>
        </is>
      </c>
      <c r="C464" s="28" t="inlineStr">
        <is>
          <t>Wastewater Design Civil Engineer</t>
        </is>
      </c>
      <c r="D464" s="28" t="inlineStr">
        <is>
          <t>Finlay Jude Associates Ltd</t>
        </is>
      </c>
      <c r="E464" s="28" t="inlineStr">
        <is>
          <t>Batley, England, United Kingdom</t>
        </is>
      </c>
      <c r="F464" s="28" t="inlineStr">
        <is>
          <t>Not specified</t>
        </is>
      </c>
      <c r="G464" s="28" t="inlineStr">
        <is>
          <t>LinkedIn</t>
        </is>
      </c>
      <c r="H464" s="29" t="inlineStr">
        <is>
          <t>CONFIRMED</t>
        </is>
      </c>
      <c r="I464" s="28" t="n">
        <v>50</v>
      </c>
      <c r="J464" s="30" t="inlineStr">
        <is>
          <t>Apply Here</t>
        </is>
      </c>
      <c r="K464" s="31" t="inlineStr"/>
      <c r="L464" s="31" t="inlineStr"/>
      <c r="M464" s="31" t="inlineStr">
        <is>
          <t>Pending</t>
        </is>
      </c>
      <c r="N464" s="32" t="inlineStr"/>
      <c r="O464" s="31" t="inlineStr"/>
    </row>
    <row r="465" ht="16" customHeight="1">
      <c r="A465" s="33" t="inlineStr">
        <is>
          <t>4be7c51e8a24</t>
        </is>
      </c>
      <c r="B465" s="33" t="inlineStr">
        <is>
          <t>06/06/2026</t>
        </is>
      </c>
      <c r="C465" s="33" t="inlineStr">
        <is>
          <t>Hydraulic Modeller (Flood Risk Management)</t>
        </is>
      </c>
      <c r="D465" s="33" t="inlineStr">
        <is>
          <t>Jacobs</t>
        </is>
      </c>
      <c r="E465" s="33" t="inlineStr">
        <is>
          <t>Wokingham, Berkshire</t>
        </is>
      </c>
      <c r="F465" s="33" t="inlineStr">
        <is>
          <t>£37,445 – £37,445</t>
        </is>
      </c>
      <c r="G465" s="33" t="inlineStr">
        <is>
          <t>Adzuna UK</t>
        </is>
      </c>
      <c r="H465" s="29" t="inlineStr">
        <is>
          <t>CONFIRMED</t>
        </is>
      </c>
      <c r="I465" s="33" t="n">
        <v>125</v>
      </c>
      <c r="J465" s="34" t="inlineStr">
        <is>
          <t>Apply Here</t>
        </is>
      </c>
      <c r="K465" s="35" t="inlineStr"/>
      <c r="L465" s="35" t="inlineStr"/>
      <c r="M465" s="35" t="inlineStr">
        <is>
          <t>Pending</t>
        </is>
      </c>
      <c r="N465" s="36" t="inlineStr"/>
      <c r="O465" s="35" t="inlineStr"/>
    </row>
    <row r="466" ht="16" customHeight="1">
      <c r="A466" s="28" t="inlineStr">
        <is>
          <t>ffda5da6b97f</t>
        </is>
      </c>
      <c r="B466" s="28" t="inlineStr">
        <is>
          <t>06/06/2026</t>
        </is>
      </c>
      <c r="C466" s="28" t="inlineStr">
        <is>
          <t>Civil Engineer - Wastewater Infrastructure</t>
        </is>
      </c>
      <c r="D466" s="28" t="inlineStr">
        <is>
          <t>Aldwych Consulting Ltd</t>
        </is>
      </c>
      <c r="E466" s="28" t="inlineStr">
        <is>
          <t>Hampshire, England, United Kingdom</t>
        </is>
      </c>
      <c r="F466" s="28" t="inlineStr">
        <is>
          <t>Not specified</t>
        </is>
      </c>
      <c r="G466" s="28" t="inlineStr">
        <is>
          <t>LinkedIn</t>
        </is>
      </c>
      <c r="H466" s="29" t="inlineStr">
        <is>
          <t>CONFIRMED</t>
        </is>
      </c>
      <c r="I466" s="28" t="n">
        <v>65</v>
      </c>
      <c r="J466" s="30" t="inlineStr">
        <is>
          <t>Apply Here</t>
        </is>
      </c>
      <c r="K466" s="31" t="inlineStr"/>
      <c r="L466" s="31" t="inlineStr"/>
      <c r="M466" s="31" t="inlineStr">
        <is>
          <t>Pending</t>
        </is>
      </c>
      <c r="N466" s="32" t="inlineStr"/>
      <c r="O466" s="31" t="inlineStr"/>
    </row>
    <row r="467" ht="16" customHeight="1">
      <c r="A467" s="33" t="inlineStr">
        <is>
          <t>06bfbd1246af</t>
        </is>
      </c>
      <c r="B467" s="33" t="inlineStr">
        <is>
          <t>06/06/2026</t>
        </is>
      </c>
      <c r="C467" s="33" t="inlineStr">
        <is>
          <t>Civil Design Engineer - Water Industry</t>
        </is>
      </c>
      <c r="D467" s="33" t="inlineStr">
        <is>
          <t>Tetra Tech Europe</t>
        </is>
      </c>
      <c r="E467" s="33" t="inlineStr">
        <is>
          <t>Glasgow, Scotland, United Kingdom</t>
        </is>
      </c>
      <c r="F467" s="33" t="inlineStr">
        <is>
          <t>Not specified</t>
        </is>
      </c>
      <c r="G467" s="33" t="inlineStr">
        <is>
          <t>LinkedIn</t>
        </is>
      </c>
      <c r="H467" s="29" t="inlineStr">
        <is>
          <t>CONFIRMED</t>
        </is>
      </c>
      <c r="I467" s="33" t="n">
        <v>50</v>
      </c>
      <c r="J467" s="34" t="inlineStr">
        <is>
          <t>Apply Here</t>
        </is>
      </c>
      <c r="K467" s="35" t="inlineStr"/>
      <c r="L467" s="35" t="inlineStr"/>
      <c r="M467" s="35" t="inlineStr">
        <is>
          <t>Pending</t>
        </is>
      </c>
      <c r="N467" s="36" t="inlineStr"/>
      <c r="O467" s="35" t="inlineStr"/>
    </row>
    <row r="468" ht="16" customHeight="1">
      <c r="A468" s="28" t="inlineStr">
        <is>
          <t>a05172de2aa4</t>
        </is>
      </c>
      <c r="B468" s="28" t="inlineStr">
        <is>
          <t>09/06/2026</t>
        </is>
      </c>
      <c r="C468" s="28" t="inlineStr">
        <is>
          <t>Hydrologist | Flood Hydraulic Modeller</t>
        </is>
      </c>
      <c r="D468" s="28" t="inlineStr">
        <is>
          <t>Stantec</t>
        </is>
      </c>
      <c r="E468" s="28" t="inlineStr">
        <is>
          <t>Manchester, England, United Kingdom</t>
        </is>
      </c>
      <c r="F468" s="28" t="inlineStr">
        <is>
          <t>Not specified</t>
        </is>
      </c>
      <c r="G468" s="28" t="inlineStr">
        <is>
          <t>LinkedIn</t>
        </is>
      </c>
      <c r="H468" s="29" t="inlineStr">
        <is>
          <t>CONFIRMED</t>
        </is>
      </c>
      <c r="I468" s="28" t="n">
        <v>90</v>
      </c>
      <c r="J468" s="30" t="inlineStr">
        <is>
          <t>Apply Here</t>
        </is>
      </c>
      <c r="K468" s="31" t="inlineStr"/>
      <c r="L468" s="31" t="inlineStr"/>
      <c r="M468" s="31" t="inlineStr">
        <is>
          <t>Pending</t>
        </is>
      </c>
      <c r="N468" s="32" t="inlineStr"/>
      <c r="O468" s="31" t="inlineStr"/>
    </row>
    <row r="469" ht="16" customHeight="1">
      <c r="A469" s="33" t="inlineStr">
        <is>
          <t>417980a8399a</t>
        </is>
      </c>
      <c r="B469" s="33" t="inlineStr">
        <is>
          <t>09/06/2026</t>
        </is>
      </c>
      <c r="C469" s="33" t="inlineStr">
        <is>
          <t>Civil Design Engineer - Water Industry</t>
        </is>
      </c>
      <c r="D469" s="33" t="inlineStr">
        <is>
          <t>Tetra Tech Europe</t>
        </is>
      </c>
      <c r="E469" s="33" t="inlineStr">
        <is>
          <t>Glasgow, Scotland, United Kingdom</t>
        </is>
      </c>
      <c r="F469" s="33" t="inlineStr">
        <is>
          <t>Not specified</t>
        </is>
      </c>
      <c r="G469" s="33" t="inlineStr">
        <is>
          <t>LinkedIn</t>
        </is>
      </c>
      <c r="H469" s="29" t="inlineStr">
        <is>
          <t>CONFIRMED</t>
        </is>
      </c>
      <c r="I469" s="33" t="n">
        <v>50</v>
      </c>
      <c r="J469" s="34" t="inlineStr">
        <is>
          <t>Apply Here</t>
        </is>
      </c>
      <c r="K469" s="35" t="inlineStr"/>
      <c r="L469" s="35" t="inlineStr"/>
      <c r="M469" s="35" t="inlineStr">
        <is>
          <t>Pending</t>
        </is>
      </c>
      <c r="N469" s="36" t="inlineStr"/>
      <c r="O469" s="35" t="inlineStr"/>
    </row>
    <row r="470" ht="16" customHeight="1">
      <c r="A470" s="28" t="inlineStr">
        <is>
          <t>5a97cb3bb79e</t>
        </is>
      </c>
      <c r="B470" s="28" t="inlineStr">
        <is>
          <t>10/06/2026</t>
        </is>
      </c>
      <c r="C470" s="28" t="inlineStr">
        <is>
          <t>Clean Water (Hydraulic) Modeller</t>
        </is>
      </c>
      <c r="D470" s="28" t="inlineStr">
        <is>
          <t>Tetra Tech Europe</t>
        </is>
      </c>
      <c r="E470" s="28" t="inlineStr">
        <is>
          <t>Abingdon-On-Thames, England, United Kingdom</t>
        </is>
      </c>
      <c r="F470" s="28" t="inlineStr">
        <is>
          <t>Not specified</t>
        </is>
      </c>
      <c r="G470" s="28" t="inlineStr">
        <is>
          <t>LinkedIn</t>
        </is>
      </c>
      <c r="H470" s="38" t="inlineStr">
        <is>
          <t>UNKNOWN</t>
        </is>
      </c>
      <c r="I470" s="28" t="n">
        <v>65</v>
      </c>
      <c r="J470" s="30" t="inlineStr">
        <is>
          <t>Apply Here</t>
        </is>
      </c>
      <c r="K470" s="31" t="inlineStr"/>
      <c r="L470" s="31" t="inlineStr"/>
      <c r="M470" s="31" t="inlineStr">
        <is>
          <t>Pending</t>
        </is>
      </c>
      <c r="N470" s="32" t="inlineStr"/>
      <c r="O470" s="31" t="inlineStr"/>
    </row>
    <row r="471" ht="16" customHeight="1">
      <c r="A471" s="33" t="inlineStr">
        <is>
          <t>6d74c305065a</t>
        </is>
      </c>
      <c r="B471" s="33" t="inlineStr">
        <is>
          <t>10/06/2026</t>
        </is>
      </c>
      <c r="C471" s="33" t="inlineStr">
        <is>
          <t>Civil Design Engineer - Water Industry</t>
        </is>
      </c>
      <c r="D471" s="33" t="inlineStr">
        <is>
          <t>Tetra Tech Europe</t>
        </is>
      </c>
      <c r="E471" s="33" t="inlineStr">
        <is>
          <t>Glasgow, Scotland, United Kingdom</t>
        </is>
      </c>
      <c r="F471" s="33" t="inlineStr">
        <is>
          <t>Not specified</t>
        </is>
      </c>
      <c r="G471" s="33" t="inlineStr">
        <is>
          <t>LinkedIn</t>
        </is>
      </c>
      <c r="H471" s="38" t="inlineStr">
        <is>
          <t>UNKNOWN</t>
        </is>
      </c>
      <c r="I471" s="33" t="n">
        <v>50</v>
      </c>
      <c r="J471" s="34" t="inlineStr">
        <is>
          <t>Apply Here</t>
        </is>
      </c>
      <c r="K471" s="35" t="inlineStr"/>
      <c r="L471" s="35" t="inlineStr"/>
      <c r="M471" s="35" t="inlineStr">
        <is>
          <t>Pending</t>
        </is>
      </c>
      <c r="N471" s="36" t="inlineStr"/>
      <c r="O471" s="35" t="inlineStr"/>
    </row>
    <row r="472" ht="16" customHeight="1">
      <c r="A472" s="28" t="inlineStr">
        <is>
          <t>5b0007aa454f</t>
        </is>
      </c>
      <c r="B472" s="28" t="inlineStr">
        <is>
          <t>11/06/2026</t>
        </is>
      </c>
      <c r="C472" s="28" t="inlineStr">
        <is>
          <t>Wastewater Civil Design Engineer</t>
        </is>
      </c>
      <c r="D472" s="28" t="inlineStr">
        <is>
          <t>Finlay Jude Associates Ltd</t>
        </is>
      </c>
      <c r="E472" s="28" t="inlineStr">
        <is>
          <t>Leeds, England, United Kingdom</t>
        </is>
      </c>
      <c r="F472" s="28" t="inlineStr">
        <is>
          <t>Not specified</t>
        </is>
      </c>
      <c r="G472" s="28" t="inlineStr">
        <is>
          <t>LinkedIn</t>
        </is>
      </c>
      <c r="H472" s="29" t="inlineStr">
        <is>
          <t>CONFIRMED</t>
        </is>
      </c>
      <c r="I472" s="28" t="n">
        <v>50</v>
      </c>
      <c r="J472" s="30" t="inlineStr">
        <is>
          <t>Apply Here</t>
        </is>
      </c>
      <c r="K472" s="31" t="inlineStr"/>
      <c r="L472" s="31" t="inlineStr"/>
      <c r="M472" s="31" t="inlineStr">
        <is>
          <t>Pending</t>
        </is>
      </c>
      <c r="N472" s="32" t="inlineStr"/>
      <c r="O472" s="31" t="inlineStr"/>
    </row>
    <row r="473" ht="16" customHeight="1">
      <c r="A473" s="33" t="inlineStr">
        <is>
          <t>10a4e9e5e48f</t>
        </is>
      </c>
      <c r="B473" s="33" t="inlineStr">
        <is>
          <t>13/06/2026</t>
        </is>
      </c>
      <c r="C473" s="33" t="inlineStr">
        <is>
          <t>Civil Design Engineer - Water Sector AMP8</t>
        </is>
      </c>
      <c r="D473" s="33" t="inlineStr">
        <is>
          <t>Arcadis</t>
        </is>
      </c>
      <c r="E473" s="33" t="inlineStr">
        <is>
          <t>Manchester, England, United Kingdom</t>
        </is>
      </c>
      <c r="F473" s="33" t="inlineStr">
        <is>
          <t>Not specified</t>
        </is>
      </c>
      <c r="G473" s="33" t="inlineStr">
        <is>
          <t>LinkedIn</t>
        </is>
      </c>
      <c r="H473" s="29" t="inlineStr">
        <is>
          <t>CONFIRMED</t>
        </is>
      </c>
      <c r="I473" s="33" t="n">
        <v>75</v>
      </c>
      <c r="J473" s="34" t="inlineStr">
        <is>
          <t>Apply Here</t>
        </is>
      </c>
      <c r="K473" s="35" t="inlineStr"/>
      <c r="L473" s="35" t="inlineStr"/>
      <c r="M473" s="35" t="inlineStr">
        <is>
          <t>Pending</t>
        </is>
      </c>
      <c r="N473" s="36" t="inlineStr"/>
      <c r="O473" s="35" t="inlineStr"/>
    </row>
    <row r="474" ht="16" customHeight="1">
      <c r="A474" s="28" t="inlineStr">
        <is>
          <t>5d97fcf71c50</t>
        </is>
      </c>
      <c r="B474" s="28" t="inlineStr">
        <is>
          <t>14/06/2026</t>
        </is>
      </c>
      <c r="C474" s="28" t="inlineStr">
        <is>
          <t>Wastewater Design Civil Engineer</t>
        </is>
      </c>
      <c r="D474" s="28" t="inlineStr">
        <is>
          <t>M Group Water</t>
        </is>
      </c>
      <c r="E474" s="28" t="inlineStr">
        <is>
          <t>Birstall, England, United Kingdom</t>
        </is>
      </c>
      <c r="F474" s="28" t="inlineStr">
        <is>
          <t>Not specified</t>
        </is>
      </c>
      <c r="G474" s="28" t="inlineStr">
        <is>
          <t>LinkedIn</t>
        </is>
      </c>
      <c r="H474" s="29" t="inlineStr">
        <is>
          <t>CONFIRMED</t>
        </is>
      </c>
      <c r="I474" s="28" t="n">
        <v>50</v>
      </c>
      <c r="J474" s="30" t="inlineStr">
        <is>
          <t>Apply Here</t>
        </is>
      </c>
      <c r="K474" s="31" t="inlineStr"/>
      <c r="L474" s="31" t="inlineStr"/>
      <c r="M474" s="31" t="inlineStr">
        <is>
          <t>Pending</t>
        </is>
      </c>
      <c r="N474" s="32" t="inlineStr"/>
      <c r="O474" s="31" t="inlineStr"/>
    </row>
    <row r="475" ht="16" customHeight="1">
      <c r="A475" s="33" t="inlineStr">
        <is>
          <t>6319c548f22b</t>
        </is>
      </c>
      <c r="B475" s="33" t="inlineStr">
        <is>
          <t>17/06/2026</t>
        </is>
      </c>
      <c r="C475" s="33" t="inlineStr">
        <is>
          <t>Design Manager - Water Sector</t>
        </is>
      </c>
      <c r="D475" s="33" t="inlineStr">
        <is>
          <t>Stantec</t>
        </is>
      </c>
      <c r="E475" s="33" t="inlineStr">
        <is>
          <t>Reading, England, United Kingdom</t>
        </is>
      </c>
      <c r="F475" s="33" t="inlineStr">
        <is>
          <t>Not specified</t>
        </is>
      </c>
      <c r="G475" s="33" t="inlineStr">
        <is>
          <t>LinkedIn</t>
        </is>
      </c>
      <c r="H475" s="29" t="inlineStr">
        <is>
          <t>CONFIRMED</t>
        </is>
      </c>
      <c r="I475" s="33" t="n">
        <v>50</v>
      </c>
      <c r="J475" s="34" t="inlineStr">
        <is>
          <t>Apply Here</t>
        </is>
      </c>
      <c r="K475" s="35" t="inlineStr"/>
      <c r="L475" s="35" t="inlineStr"/>
      <c r="M475" s="35" t="inlineStr">
        <is>
          <t>Pending</t>
        </is>
      </c>
      <c r="N475" s="36" t="inlineStr"/>
      <c r="O475" s="35" t="inlineStr"/>
    </row>
    <row r="476" ht="16" customHeight="1">
      <c r="A476" s="28" t="inlineStr">
        <is>
          <t>e1f819a4297b</t>
        </is>
      </c>
      <c r="B476" s="28" t="inlineStr">
        <is>
          <t>18/06/2026</t>
        </is>
      </c>
      <c r="C476" s="28" t="inlineStr">
        <is>
          <t>Hydraulic Modeller (Flood Risk Management)</t>
        </is>
      </c>
      <c r="D476" s="28" t="inlineStr">
        <is>
          <t>Jacobs</t>
        </is>
      </c>
      <c r="E476" s="28" t="inlineStr">
        <is>
          <t>Wokingham, Berkshire</t>
        </is>
      </c>
      <c r="F476" s="28" t="inlineStr">
        <is>
          <t>£37,427 – £37,427</t>
        </is>
      </c>
      <c r="G476" s="28" t="inlineStr">
        <is>
          <t>Adzuna UK</t>
        </is>
      </c>
      <c r="H476" s="29" t="inlineStr">
        <is>
          <t>CONFIRMED</t>
        </is>
      </c>
      <c r="I476" s="28" t="n">
        <v>125</v>
      </c>
      <c r="J476" s="30" t="inlineStr">
        <is>
          <t>Apply Here</t>
        </is>
      </c>
      <c r="K476" s="31" t="inlineStr"/>
      <c r="L476" s="31" t="inlineStr"/>
      <c r="M476" s="31" t="inlineStr">
        <is>
          <t>Pending</t>
        </is>
      </c>
      <c r="N476" s="32" t="inlineStr"/>
      <c r="O476" s="31" t="inlineStr"/>
    </row>
    <row r="477" ht="16" customHeight="1">
      <c r="A477" s="33" t="inlineStr">
        <is>
          <t>074d9d8a8a7f</t>
        </is>
      </c>
      <c r="B477" s="33" t="inlineStr">
        <is>
          <t>18/06/2026</t>
        </is>
      </c>
      <c r="C477" s="33" t="inlineStr">
        <is>
          <t>Civil Design Engineer (Wastewater Infrastructure)</t>
        </is>
      </c>
      <c r="D477" s="33" t="inlineStr">
        <is>
          <t>J&amp;T Business Consulting</t>
        </is>
      </c>
      <c r="E477" s="33" t="inlineStr">
        <is>
          <t>Slough, England, United Kingdom</t>
        </is>
      </c>
      <c r="F477" s="33" t="inlineStr">
        <is>
          <t>Not specified</t>
        </is>
      </c>
      <c r="G477" s="33" t="inlineStr">
        <is>
          <t>LinkedIn</t>
        </is>
      </c>
      <c r="H477" s="29" t="inlineStr">
        <is>
          <t>CONFIRMED</t>
        </is>
      </c>
      <c r="I477" s="33" t="n">
        <v>65</v>
      </c>
      <c r="J477" s="34" t="inlineStr">
        <is>
          <t>Apply Here</t>
        </is>
      </c>
      <c r="K477" s="35" t="inlineStr"/>
      <c r="L477" s="35" t="inlineStr"/>
      <c r="M477" s="35" t="inlineStr">
        <is>
          <t>Pending</t>
        </is>
      </c>
      <c r="N477" s="36" t="inlineStr"/>
      <c r="O477" s="35" t="inlineStr"/>
    </row>
    <row r="478" ht="16" customHeight="1">
      <c r="A478" s="28" t="inlineStr">
        <is>
          <t>08ce52d81488</t>
        </is>
      </c>
      <c r="B478" s="28" t="inlineStr">
        <is>
          <t>20/06/2026</t>
        </is>
      </c>
      <c r="C478" s="28" t="inlineStr">
        <is>
          <t>Water Networks Modeller</t>
        </is>
      </c>
      <c r="D478" s="28" t="inlineStr">
        <is>
          <t>Stantec</t>
        </is>
      </c>
      <c r="E478" s="28" t="inlineStr">
        <is>
          <t>Newcastle Upon Tyne, England, United Kingdom</t>
        </is>
      </c>
      <c r="F478" s="28" t="inlineStr">
        <is>
          <t>Not specified</t>
        </is>
      </c>
      <c r="G478" s="28" t="inlineStr">
        <is>
          <t>LinkedIn</t>
        </is>
      </c>
      <c r="H478" s="29" t="inlineStr">
        <is>
          <t>CONFIRMED</t>
        </is>
      </c>
      <c r="I478" s="28" t="n">
        <v>50</v>
      </c>
      <c r="J478" s="30" t="inlineStr">
        <is>
          <t>Apply Here</t>
        </is>
      </c>
      <c r="K478" s="31" t="inlineStr"/>
      <c r="L478" s="31" t="inlineStr"/>
      <c r="M478" s="31" t="inlineStr">
        <is>
          <t>Pending</t>
        </is>
      </c>
      <c r="N478" s="32" t="inlineStr"/>
      <c r="O478" s="31" t="inlineStr"/>
    </row>
    <row r="479" ht="16" customHeight="1">
      <c r="A479" s="33" t="inlineStr">
        <is>
          <t>40f2545fb8c8</t>
        </is>
      </c>
      <c r="B479" s="33" t="inlineStr">
        <is>
          <t>23/06/2026</t>
        </is>
      </c>
      <c r="C479" s="33" t="inlineStr">
        <is>
          <t>EOI | Project Management Roles | Water Infrastructure Projects</t>
        </is>
      </c>
      <c r="D479" s="33" t="inlineStr">
        <is>
          <t>Pershing Consultants</t>
        </is>
      </c>
      <c r="E479" s="33" t="inlineStr">
        <is>
          <t>Holborn, Central London</t>
        </is>
      </c>
      <c r="F479" s="33" t="inlineStr">
        <is>
          <t>£45,727 – £45,727</t>
        </is>
      </c>
      <c r="G479" s="33" t="inlineStr">
        <is>
          <t>Adzuna UK</t>
        </is>
      </c>
      <c r="H479" s="29" t="inlineStr">
        <is>
          <t>CONFIRMED</t>
        </is>
      </c>
      <c r="I479" s="33" t="n">
        <v>85</v>
      </c>
      <c r="J479" s="34" t="inlineStr">
        <is>
          <t>Apply Here</t>
        </is>
      </c>
      <c r="K479" s="35" t="inlineStr"/>
      <c r="L479" s="35" t="inlineStr"/>
      <c r="M479" s="35" t="inlineStr">
        <is>
          <t>Pending</t>
        </is>
      </c>
      <c r="N479" s="36" t="inlineStr"/>
      <c r="O479" s="35" t="inlineStr"/>
    </row>
    <row r="480" ht="16" customHeight="1">
      <c r="A480" s="28" t="inlineStr">
        <is>
          <t>15e1e6d86cd9</t>
        </is>
      </c>
      <c r="B480" s="28" t="inlineStr">
        <is>
          <t>23/06/2026</t>
        </is>
      </c>
      <c r="C480" s="28" t="inlineStr">
        <is>
          <t>Civil Design Engineer - Water</t>
        </is>
      </c>
      <c r="D480" s="28" t="inlineStr">
        <is>
          <t>Matchtech</t>
        </is>
      </c>
      <c r="E480" s="28" t="inlineStr">
        <is>
          <t>Cardiff, Wales, United Kingdom</t>
        </is>
      </c>
      <c r="F480" s="28" t="inlineStr">
        <is>
          <t>Not specified</t>
        </is>
      </c>
      <c r="G480" s="28" t="inlineStr">
        <is>
          <t>LinkedIn</t>
        </is>
      </c>
      <c r="H480" s="29" t="inlineStr">
        <is>
          <t>CONFIRMED</t>
        </is>
      </c>
      <c r="I480" s="28" t="n">
        <v>50</v>
      </c>
      <c r="J480" s="30" t="inlineStr">
        <is>
          <t>Apply Here</t>
        </is>
      </c>
      <c r="K480" s="31" t="inlineStr"/>
      <c r="L480" s="31" t="inlineStr"/>
      <c r="M480" s="31" t="inlineStr">
        <is>
          <t>Pending</t>
        </is>
      </c>
      <c r="N480" s="32" t="inlineStr"/>
      <c r="O480" s="31" t="inlineStr"/>
    </row>
    <row r="481" ht="16" customHeight="1">
      <c r="A481" s="33" t="inlineStr">
        <is>
          <t>f3e1155b548a</t>
        </is>
      </c>
      <c r="B481" s="33" t="inlineStr">
        <is>
          <t>24/06/2026</t>
        </is>
      </c>
      <c r="C481" s="33" t="inlineStr">
        <is>
          <t>EOI | Project Management Roles | Water Infrastructure Projects</t>
        </is>
      </c>
      <c r="D481" s="33" t="inlineStr">
        <is>
          <t>Pershing Consultants</t>
        </is>
      </c>
      <c r="E481" s="33" t="inlineStr">
        <is>
          <t>London, England, United Kingdom</t>
        </is>
      </c>
      <c r="F481" s="33" t="inlineStr">
        <is>
          <t>Not specified</t>
        </is>
      </c>
      <c r="G481" s="33" t="inlineStr">
        <is>
          <t>LinkedIn</t>
        </is>
      </c>
      <c r="H481" s="29" t="inlineStr">
        <is>
          <t>CONFIRMED</t>
        </is>
      </c>
      <c r="I481" s="33" t="n">
        <v>65</v>
      </c>
      <c r="J481" s="34" t="inlineStr">
        <is>
          <t>Apply Here</t>
        </is>
      </c>
      <c r="K481" s="35" t="inlineStr"/>
      <c r="L481" s="35" t="inlineStr"/>
      <c r="M481" s="35" t="inlineStr">
        <is>
          <t>Pending</t>
        </is>
      </c>
      <c r="N481" s="36" t="inlineStr"/>
      <c r="O481" s="35" t="inlineStr"/>
    </row>
    <row r="482" ht="16" customHeight="1">
      <c r="A482" s="28" t="inlineStr">
        <is>
          <t>5c73625b1710</t>
        </is>
      </c>
      <c r="B482" s="28" t="inlineStr">
        <is>
          <t>25/06/2026</t>
        </is>
      </c>
      <c r="C482" s="28" t="inlineStr">
        <is>
          <t>Civil Design Engineer (Wastewater Infrastructure)</t>
        </is>
      </c>
      <c r="D482" s="28" t="inlineStr">
        <is>
          <t>J&amp;T Business Consulting</t>
        </is>
      </c>
      <c r="E482" s="28" t="inlineStr">
        <is>
          <t>Chalvey, Slough</t>
        </is>
      </c>
      <c r="F482" s="28" t="inlineStr">
        <is>
          <t>£47,723 – £47,723</t>
        </is>
      </c>
      <c r="G482" s="28" t="inlineStr">
        <is>
          <t>Adzuna UK</t>
        </is>
      </c>
      <c r="H482" s="29" t="inlineStr">
        <is>
          <t>CONFIRMED</t>
        </is>
      </c>
      <c r="I482" s="28" t="n">
        <v>85</v>
      </c>
      <c r="J482" s="30" t="inlineStr">
        <is>
          <t>Apply Here</t>
        </is>
      </c>
      <c r="K482" s="31" t="inlineStr"/>
      <c r="L482" s="31" t="inlineStr"/>
      <c r="M482" s="31" t="inlineStr">
        <is>
          <t>Pending</t>
        </is>
      </c>
      <c r="N482" s="32" t="inlineStr"/>
      <c r="O482" s="31" t="inlineStr"/>
    </row>
    <row r="483" ht="16" customHeight="1">
      <c r="A483" s="33" t="inlineStr">
        <is>
          <t>c42f27e7aa88</t>
        </is>
      </c>
      <c r="B483" s="33" t="inlineStr">
        <is>
          <t>25/06/2026</t>
        </is>
      </c>
      <c r="C483" s="33" t="inlineStr">
        <is>
          <t>(Water) Civil Design Engineers / Engineers - North West / Various Locations and Various Levels</t>
        </is>
      </c>
      <c r="D483" s="33" t="inlineStr">
        <is>
          <t>Tetra Tech Europe</t>
        </is>
      </c>
      <c r="E483" s="33" t="inlineStr">
        <is>
          <t>Birmingham, England, United Kingdom</t>
        </is>
      </c>
      <c r="F483" s="33" t="inlineStr">
        <is>
          <t>Not specified</t>
        </is>
      </c>
      <c r="G483" s="33" t="inlineStr">
        <is>
          <t>LinkedIn</t>
        </is>
      </c>
      <c r="H483" s="29" t="inlineStr">
        <is>
          <t>CONFIRMED</t>
        </is>
      </c>
      <c r="I483" s="33" t="n">
        <v>50</v>
      </c>
      <c r="J483" s="34" t="inlineStr">
        <is>
          <t>Apply Here</t>
        </is>
      </c>
      <c r="K483" s="35" t="inlineStr"/>
      <c r="L483" s="35" t="inlineStr"/>
      <c r="M483" s="35" t="inlineStr">
        <is>
          <t>Pending</t>
        </is>
      </c>
      <c r="N483" s="36" t="inlineStr"/>
      <c r="O483" s="35" t="inlineStr"/>
    </row>
    <row r="484" ht="16" customHeight="1">
      <c r="A484" s="28" t="inlineStr">
        <is>
          <t>c6c9c7e5dbe9</t>
        </is>
      </c>
      <c r="B484" s="28" t="inlineStr">
        <is>
          <t>26/06/2026</t>
        </is>
      </c>
      <c r="C484" s="28" t="inlineStr">
        <is>
          <t>Civil Engineer - Wastewater Infrastructure</t>
        </is>
      </c>
      <c r="D484" s="28" t="inlineStr">
        <is>
          <t>Penguin Recruitment Ltd</t>
        </is>
      </c>
      <c r="E484" s="28" t="inlineStr">
        <is>
          <t>Slough, Berkshire</t>
        </is>
      </c>
      <c r="F484" s="28" t="inlineStr">
        <is>
          <t>£40,000 – £55,000</t>
        </is>
      </c>
      <c r="G484" s="28" t="inlineStr">
        <is>
          <t>Adzuna UK</t>
        </is>
      </c>
      <c r="H484" s="29" t="inlineStr">
        <is>
          <t>CONFIRMED</t>
        </is>
      </c>
      <c r="I484" s="28" t="n">
        <v>85</v>
      </c>
      <c r="J484" s="30" t="inlineStr">
        <is>
          <t>Apply Here</t>
        </is>
      </c>
      <c r="K484" s="31" t="inlineStr"/>
      <c r="L484" s="31" t="inlineStr"/>
      <c r="M484" s="31" t="inlineStr">
        <is>
          <t>Pending</t>
        </is>
      </c>
      <c r="N484" s="32" t="inlineStr"/>
      <c r="O484" s="31" t="inlineStr"/>
    </row>
    <row r="485" ht="16" customHeight="1">
      <c r="A485" s="33" t="inlineStr">
        <is>
          <t>fafa6dd19915</t>
        </is>
      </c>
      <c r="B485" s="33" t="inlineStr">
        <is>
          <t>26/06/2026</t>
        </is>
      </c>
      <c r="C485" s="33" t="inlineStr">
        <is>
          <t>Civil Engineer - Wastewater Infrastructure</t>
        </is>
      </c>
      <c r="D485" s="33" t="inlineStr">
        <is>
          <t>Penguin Recruitment</t>
        </is>
      </c>
      <c r="E485" s="33" t="inlineStr">
        <is>
          <t>Chalvey, Slough</t>
        </is>
      </c>
      <c r="F485" s="33" t="inlineStr">
        <is>
          <t>£40,000 – £55,000</t>
        </is>
      </c>
      <c r="G485" s="33" t="inlineStr">
        <is>
          <t>Adzuna UK</t>
        </is>
      </c>
      <c r="H485" s="29" t="inlineStr">
        <is>
          <t>CONFIRMED</t>
        </is>
      </c>
      <c r="I485" s="33" t="n">
        <v>85</v>
      </c>
      <c r="J485" s="34" t="inlineStr">
        <is>
          <t>Apply Here</t>
        </is>
      </c>
      <c r="K485" s="35" t="inlineStr"/>
      <c r="L485" s="35" t="inlineStr"/>
      <c r="M485" s="35" t="inlineStr">
        <is>
          <t>Pending</t>
        </is>
      </c>
      <c r="N485" s="36" t="inlineStr"/>
      <c r="O485" s="35" t="inlineStr"/>
    </row>
    <row r="486" ht="16" customHeight="1">
      <c r="A486" s="28" t="inlineStr">
        <is>
          <t>b1b00f0e1554</t>
        </is>
      </c>
      <c r="B486" s="28" t="inlineStr">
        <is>
          <t>28/06/2026</t>
        </is>
      </c>
      <c r="C486" s="28" t="inlineStr">
        <is>
          <t>Hydraulic Modeller (Flood Risk Management)</t>
        </is>
      </c>
      <c r="D486" s="28" t="inlineStr">
        <is>
          <t>Jacobs</t>
        </is>
      </c>
      <c r="E486" s="28" t="inlineStr">
        <is>
          <t>Peterborough, England, United Kingdom</t>
        </is>
      </c>
      <c r="F486" s="28" t="inlineStr">
        <is>
          <t>Not specified</t>
        </is>
      </c>
      <c r="G486" s="28" t="inlineStr">
        <is>
          <t>LinkedIn</t>
        </is>
      </c>
      <c r="H486" s="29" t="inlineStr">
        <is>
          <t>CONFIRMED</t>
        </is>
      </c>
      <c r="I486" s="28" t="n">
        <v>90</v>
      </c>
      <c r="J486" s="30" t="inlineStr">
        <is>
          <t>Apply Here</t>
        </is>
      </c>
      <c r="K486" s="31" t="inlineStr"/>
      <c r="L486" s="31" t="inlineStr"/>
      <c r="M486" s="31" t="inlineStr">
        <is>
          <t>Pending</t>
        </is>
      </c>
      <c r="N486" s="32" t="inlineStr"/>
      <c r="O486" s="31" t="inlineStr"/>
    </row>
    <row r="487" ht="16" customHeight="1">
      <c r="A487" s="33" t="inlineStr">
        <is>
          <t>ffd5f559f4df</t>
        </is>
      </c>
      <c r="B487" s="33" t="inlineStr">
        <is>
          <t>01/07/2026</t>
        </is>
      </c>
      <c r="C487" s="33" t="inlineStr">
        <is>
          <t>Water Design Manager</t>
        </is>
      </c>
      <c r="D487" s="33" t="inlineStr">
        <is>
          <t>AECOM</t>
        </is>
      </c>
      <c r="E487" s="33" t="inlineStr">
        <is>
          <t>Basingstoke, England, United Kingdom</t>
        </is>
      </c>
      <c r="F487" s="33" t="inlineStr">
        <is>
          <t>Not specified</t>
        </is>
      </c>
      <c r="G487" s="33" t="inlineStr">
        <is>
          <t>LinkedIn</t>
        </is>
      </c>
      <c r="H487" s="29" t="inlineStr">
        <is>
          <t>CONFIRMED</t>
        </is>
      </c>
      <c r="I487" s="33" t="n">
        <v>50</v>
      </c>
      <c r="J487" s="34" t="inlineStr">
        <is>
          <t>Apply Here</t>
        </is>
      </c>
      <c r="K487" s="35" t="inlineStr"/>
      <c r="L487" s="35" t="inlineStr"/>
      <c r="M487" s="35" t="inlineStr">
        <is>
          <t>Pending</t>
        </is>
      </c>
      <c r="N487" s="36" t="inlineStr"/>
      <c r="O487" s="35" t="inlineStr"/>
    </row>
    <row r="488" ht="16" customHeight="1">
      <c r="A488" s="28" t="inlineStr">
        <is>
          <t>56397a65ab3e</t>
        </is>
      </c>
      <c r="B488" s="28" t="inlineStr">
        <is>
          <t>01/07/2026</t>
        </is>
      </c>
      <c r="C488" s="28" t="inlineStr">
        <is>
          <t>Wastewater Network Modeller</t>
        </is>
      </c>
      <c r="D488" s="28" t="inlineStr">
        <is>
          <t>Mott MacDonald</t>
        </is>
      </c>
      <c r="E488" s="28" t="inlineStr">
        <is>
          <t>Edinburgh, Scotland, United Kingdom</t>
        </is>
      </c>
      <c r="F488" s="28" t="inlineStr">
        <is>
          <t>Not specified</t>
        </is>
      </c>
      <c r="G488" s="28" t="inlineStr">
        <is>
          <t>LinkedIn</t>
        </is>
      </c>
      <c r="H488" s="29" t="inlineStr">
        <is>
          <t>CONFIRMED</t>
        </is>
      </c>
      <c r="I488" s="28" t="n">
        <v>50</v>
      </c>
      <c r="J488" s="30" t="inlineStr">
        <is>
          <t>Apply Here</t>
        </is>
      </c>
      <c r="K488" s="31" t="inlineStr"/>
      <c r="L488" s="31" t="inlineStr"/>
      <c r="M488" s="31" t="inlineStr">
        <is>
          <t>Pending</t>
        </is>
      </c>
      <c r="N488" s="32" t="inlineStr"/>
      <c r="O488" s="31" t="inlineStr"/>
    </row>
    <row r="489" ht="16" customHeight="1">
      <c r="A489" s="33" t="inlineStr">
        <is>
          <t>19a06ab5e592</t>
        </is>
      </c>
      <c r="B489" s="33" t="inlineStr">
        <is>
          <t>02/07/2026</t>
        </is>
      </c>
      <c r="C489" s="33" t="inlineStr">
        <is>
          <t>Wastewater Design Civil Engineer</t>
        </is>
      </c>
      <c r="D489" s="33" t="inlineStr">
        <is>
          <t>Finlay Jude Associates Ltd</t>
        </is>
      </c>
      <c r="E489" s="33" t="inlineStr">
        <is>
          <t>Batley, England, United Kingdom</t>
        </is>
      </c>
      <c r="F489" s="33" t="inlineStr">
        <is>
          <t>Not specified</t>
        </is>
      </c>
      <c r="G489" s="33" t="inlineStr">
        <is>
          <t>LinkedIn</t>
        </is>
      </c>
      <c r="H489" s="29" t="inlineStr">
        <is>
          <t>CONFIRMED</t>
        </is>
      </c>
      <c r="I489" s="33" t="n">
        <v>50</v>
      </c>
      <c r="J489" s="34" t="inlineStr">
        <is>
          <t>Apply Here</t>
        </is>
      </c>
      <c r="K489" s="35" t="inlineStr"/>
      <c r="L489" s="35" t="inlineStr"/>
      <c r="M489" s="35" t="inlineStr">
        <is>
          <t>Pending</t>
        </is>
      </c>
      <c r="N489" s="36" t="inlineStr"/>
      <c r="O489" s="35" t="inlineStr"/>
    </row>
    <row r="490" ht="16" customHeight="1">
      <c r="A490" s="28" t="inlineStr">
        <is>
          <t>f30458081f12</t>
        </is>
      </c>
      <c r="B490" s="28" t="inlineStr">
        <is>
          <t>02/07/2026</t>
        </is>
      </c>
      <c r="C490" s="28" t="inlineStr">
        <is>
          <t>Wastewater Network Modeller</t>
        </is>
      </c>
      <c r="D490" s="28" t="inlineStr">
        <is>
          <t>Mott MacDonald</t>
        </is>
      </c>
      <c r="E490" s="28" t="inlineStr">
        <is>
          <t>Derby, England, United Kingdom</t>
        </is>
      </c>
      <c r="F490" s="28" t="inlineStr">
        <is>
          <t>Not specified</t>
        </is>
      </c>
      <c r="G490" s="28" t="inlineStr">
        <is>
          <t>LinkedIn</t>
        </is>
      </c>
      <c r="H490" s="29" t="inlineStr">
        <is>
          <t>CONFIRMED</t>
        </is>
      </c>
      <c r="I490" s="28" t="n">
        <v>50</v>
      </c>
      <c r="J490" s="30" t="inlineStr">
        <is>
          <t>Apply Here</t>
        </is>
      </c>
      <c r="K490" s="31" t="inlineStr"/>
      <c r="L490" s="31" t="inlineStr"/>
      <c r="M490" s="31" t="inlineStr">
        <is>
          <t>Pending</t>
        </is>
      </c>
      <c r="N490" s="32" t="inlineStr"/>
      <c r="O490" s="31" t="inlineStr"/>
    </row>
    <row r="491" ht="16" customHeight="1">
      <c r="A491" s="33" t="inlineStr">
        <is>
          <t>3a8fee0a2f7c</t>
        </is>
      </c>
      <c r="B491" s="33" t="inlineStr">
        <is>
          <t>03/07/2026</t>
        </is>
      </c>
      <c r="C491" s="33" t="inlineStr">
        <is>
          <t>Civil Engineer - Wastewater Infrastructure</t>
        </is>
      </c>
      <c r="D491" s="33" t="inlineStr">
        <is>
          <t>Penguin Recruitment Ltd</t>
        </is>
      </c>
      <c r="E491" s="33" t="inlineStr">
        <is>
          <t>Slough, Berkshire</t>
        </is>
      </c>
      <c r="F491" s="33" t="inlineStr">
        <is>
          <t>£40,000 – £55,000</t>
        </is>
      </c>
      <c r="G491" s="33" t="inlineStr">
        <is>
          <t>Adzuna UK</t>
        </is>
      </c>
      <c r="H491" s="29" t="inlineStr">
        <is>
          <t>CONFIRMED</t>
        </is>
      </c>
      <c r="I491" s="33" t="n">
        <v>85</v>
      </c>
      <c r="J491" s="34" t="inlineStr">
        <is>
          <t>Apply Here</t>
        </is>
      </c>
      <c r="K491" s="35" t="inlineStr"/>
      <c r="L491" s="35" t="inlineStr"/>
      <c r="M491" s="35" t="inlineStr">
        <is>
          <t>Pending</t>
        </is>
      </c>
      <c r="N491" s="36" t="inlineStr"/>
      <c r="O491" s="35" t="inlineStr"/>
    </row>
    <row r="492" ht="16" customHeight="1">
      <c r="A492" s="28" t="inlineStr">
        <is>
          <t>2fde8e93579c</t>
        </is>
      </c>
      <c r="B492" s="28" t="inlineStr">
        <is>
          <t>03/07/2026</t>
        </is>
      </c>
      <c r="C492" s="28" t="inlineStr">
        <is>
          <t>Wastewater Network Modeller</t>
        </is>
      </c>
      <c r="D492" s="28" t="inlineStr">
        <is>
          <t>WSP in the UK &amp; Ireland</t>
        </is>
      </c>
      <c r="E492" s="28" t="inlineStr">
        <is>
          <t>England, United Kingdom</t>
        </is>
      </c>
      <c r="F492" s="28" t="inlineStr">
        <is>
          <t>Not specified</t>
        </is>
      </c>
      <c r="G492" s="28" t="inlineStr">
        <is>
          <t>LinkedIn</t>
        </is>
      </c>
      <c r="H492" s="37" t="inlineStr">
        <is>
          <t>LIKELY</t>
        </is>
      </c>
      <c r="I492" s="28" t="n">
        <v>50</v>
      </c>
      <c r="J492" s="30" t="inlineStr">
        <is>
          <t>Apply Here</t>
        </is>
      </c>
      <c r="K492" s="31" t="inlineStr"/>
      <c r="L492" s="31" t="inlineStr"/>
      <c r="M492" s="31" t="inlineStr">
        <is>
          <t>Pending</t>
        </is>
      </c>
      <c r="N492" s="32" t="inlineStr"/>
      <c r="O492" s="31" t="inlineStr"/>
    </row>
    <row r="493" ht="16" customHeight="1">
      <c r="A493" s="33" t="inlineStr">
        <is>
          <t>334823e2e1e5</t>
        </is>
      </c>
      <c r="B493" s="33" t="inlineStr">
        <is>
          <t>05/07/2026</t>
        </is>
      </c>
      <c r="C493" s="33" t="inlineStr">
        <is>
          <t>Civil Design Engineer - Water Sector AMP8</t>
        </is>
      </c>
      <c r="D493" s="33" t="inlineStr">
        <is>
          <t>Arcadis</t>
        </is>
      </c>
      <c r="E493" s="33" t="inlineStr">
        <is>
          <t>Cardiff, Wales, United Kingdom</t>
        </is>
      </c>
      <c r="F493" s="33" t="inlineStr">
        <is>
          <t>Not specified</t>
        </is>
      </c>
      <c r="G493" s="33" t="inlineStr">
        <is>
          <t>LinkedIn</t>
        </is>
      </c>
      <c r="H493" s="29" t="inlineStr">
        <is>
          <t>CONFIRMED</t>
        </is>
      </c>
      <c r="I493" s="33" t="n">
        <v>75</v>
      </c>
      <c r="J493" s="34" t="inlineStr">
        <is>
          <t>Apply Here</t>
        </is>
      </c>
      <c r="K493" s="35" t="inlineStr"/>
      <c r="L493" s="35" t="inlineStr"/>
      <c r="M493" s="35" t="inlineStr">
        <is>
          <t>Pending</t>
        </is>
      </c>
      <c r="N493" s="36" t="inlineStr"/>
      <c r="O493" s="35" t="inlineStr"/>
    </row>
    <row r="494" ht="16" customHeight="1">
      <c r="A494" s="28" t="inlineStr">
        <is>
          <t>f3edaaafaece</t>
        </is>
      </c>
      <c r="B494" s="28" t="inlineStr">
        <is>
          <t>08/07/2026</t>
        </is>
      </c>
      <c r="C494" s="28" t="inlineStr">
        <is>
          <t>Civil Engineer - Wastewater Infrastructure</t>
        </is>
      </c>
      <c r="D494" s="28" t="inlineStr">
        <is>
          <t>Penguin Recruitment Ltd</t>
        </is>
      </c>
      <c r="E494" s="28" t="inlineStr">
        <is>
          <t>Slough, Berkshire</t>
        </is>
      </c>
      <c r="F494" s="28" t="inlineStr">
        <is>
          <t>£40,000 – £55,000</t>
        </is>
      </c>
      <c r="G494" s="28" t="inlineStr">
        <is>
          <t>Adzuna UK</t>
        </is>
      </c>
      <c r="H494" s="29" t="inlineStr">
        <is>
          <t>CONFIRMED</t>
        </is>
      </c>
      <c r="I494" s="28" t="n">
        <v>85</v>
      </c>
      <c r="J494" s="30" t="inlineStr">
        <is>
          <t>Apply Here</t>
        </is>
      </c>
      <c r="K494" s="31" t="inlineStr"/>
      <c r="L494" s="31" t="inlineStr"/>
      <c r="M494" s="31" t="inlineStr">
        <is>
          <t>Pending</t>
        </is>
      </c>
      <c r="N494" s="32" t="inlineStr"/>
      <c r="O494" s="31" t="inlineStr"/>
    </row>
    <row r="495" ht="16" customHeight="1">
      <c r="A495" s="33" t="inlineStr">
        <is>
          <t>905a8766d25a</t>
        </is>
      </c>
      <c r="B495" s="33" t="inlineStr">
        <is>
          <t>08/07/2026</t>
        </is>
      </c>
      <c r="C495" s="33" t="inlineStr">
        <is>
          <t>Water Networks Modeller</t>
        </is>
      </c>
      <c r="D495" s="33" t="inlineStr">
        <is>
          <t>Stantec</t>
        </is>
      </c>
      <c r="E495" s="33" t="inlineStr">
        <is>
          <t>Leeds, England, United Kingdom</t>
        </is>
      </c>
      <c r="F495" s="33" t="inlineStr">
        <is>
          <t>Not specified</t>
        </is>
      </c>
      <c r="G495" s="33" t="inlineStr">
        <is>
          <t>LinkedIn</t>
        </is>
      </c>
      <c r="H495" s="29" t="inlineStr">
        <is>
          <t>CONFIRMED</t>
        </is>
      </c>
      <c r="I495" s="33" t="n">
        <v>50</v>
      </c>
      <c r="J495" s="34" t="inlineStr">
        <is>
          <t>Apply Here</t>
        </is>
      </c>
      <c r="K495" s="35" t="inlineStr"/>
      <c r="L495" s="35" t="inlineStr"/>
      <c r="M495" s="35" t="inlineStr">
        <is>
          <t>Pending</t>
        </is>
      </c>
      <c r="N495" s="36" t="inlineStr"/>
      <c r="O495" s="35" t="inlineStr"/>
    </row>
    <row r="496" ht="16" customHeight="1">
      <c r="A496" s="28" t="inlineStr">
        <is>
          <t>6b9542f0d2e6</t>
        </is>
      </c>
      <c r="B496" s="28" t="inlineStr">
        <is>
          <t>09/07/2026</t>
        </is>
      </c>
      <c r="C496" s="28" t="inlineStr">
        <is>
          <t>Water Networks Modeller</t>
        </is>
      </c>
      <c r="D496" s="28" t="inlineStr">
        <is>
          <t>Stantec</t>
        </is>
      </c>
      <c r="E496" s="28" t="inlineStr">
        <is>
          <t>High Wycombe, Buckinghamshire</t>
        </is>
      </c>
      <c r="F496" s="28" t="inlineStr">
        <is>
          <t>£49,101 – £49,101</t>
        </is>
      </c>
      <c r="G496" s="28" t="inlineStr">
        <is>
          <t>Adzuna UK</t>
        </is>
      </c>
      <c r="H496" s="29" t="inlineStr">
        <is>
          <t>CONFIRMED</t>
        </is>
      </c>
      <c r="I496" s="28" t="n">
        <v>85</v>
      </c>
      <c r="J496" s="30" t="inlineStr">
        <is>
          <t>Apply Here</t>
        </is>
      </c>
      <c r="K496" s="31" t="inlineStr"/>
      <c r="L496" s="31" t="inlineStr"/>
      <c r="M496" s="31" t="inlineStr">
        <is>
          <t>Pending</t>
        </is>
      </c>
      <c r="N496" s="32" t="inlineStr"/>
      <c r="O496" s="31" t="inlineStr"/>
    </row>
    <row r="497" ht="16" customHeight="1">
      <c r="A497" s="33" t="inlineStr">
        <is>
          <t>fcf562437f39</t>
        </is>
      </c>
      <c r="B497" s="33" t="inlineStr">
        <is>
          <t>09/07/2026</t>
        </is>
      </c>
      <c r="C497" s="33" t="inlineStr">
        <is>
          <t>Clean Water Network Modellers/ Engineers  (All Grades)</t>
        </is>
      </c>
      <c r="D497" s="33" t="inlineStr">
        <is>
          <t>AtkinsRéalis</t>
        </is>
      </c>
      <c r="E497" s="33" t="inlineStr">
        <is>
          <t>Liverpool, England, United Kingdom</t>
        </is>
      </c>
      <c r="F497" s="33" t="inlineStr">
        <is>
          <t>Not specified</t>
        </is>
      </c>
      <c r="G497" s="33" t="inlineStr">
        <is>
          <t>LinkedIn</t>
        </is>
      </c>
      <c r="H497" s="29" t="inlineStr">
        <is>
          <t>CONFIRMED</t>
        </is>
      </c>
      <c r="I497" s="33" t="n">
        <v>65</v>
      </c>
      <c r="J497" s="34" t="inlineStr">
        <is>
          <t>Apply Here</t>
        </is>
      </c>
      <c r="K497" s="35" t="inlineStr"/>
      <c r="L497" s="35" t="inlineStr"/>
      <c r="M497" s="35" t="inlineStr">
        <is>
          <t>Pending</t>
        </is>
      </c>
      <c r="N497" s="36" t="inlineStr"/>
      <c r="O497" s="35" t="inlineStr"/>
    </row>
    <row r="498" ht="16" customHeight="1">
      <c r="A498" s="28" t="inlineStr">
        <is>
          <t>20fdcf4e3634</t>
        </is>
      </c>
      <c r="B498" s="28" t="inlineStr">
        <is>
          <t>10/07/2026</t>
        </is>
      </c>
      <c r="C498" s="28" t="inlineStr">
        <is>
          <t>Wastewater Hydraulic Modeller – Modeller to Associate</t>
        </is>
      </c>
      <c r="D498" s="28" t="inlineStr">
        <is>
          <t>AtkinsRéalis</t>
        </is>
      </c>
      <c r="E498" s="28" t="inlineStr">
        <is>
          <t>Stockton-On-Tees, England, United Kingdom</t>
        </is>
      </c>
      <c r="F498" s="28" t="inlineStr">
        <is>
          <t>Not specified</t>
        </is>
      </c>
      <c r="G498" s="28" t="inlineStr">
        <is>
          <t>LinkedIn</t>
        </is>
      </c>
      <c r="H498" s="29" t="inlineStr">
        <is>
          <t>CONFIRMED</t>
        </is>
      </c>
      <c r="I498" s="28" t="n">
        <v>90</v>
      </c>
      <c r="J498" s="30" t="inlineStr">
        <is>
          <t>Apply Here</t>
        </is>
      </c>
      <c r="K498" s="31" t="inlineStr"/>
      <c r="L498" s="31" t="inlineStr"/>
      <c r="M498" s="31" t="inlineStr">
        <is>
          <t>Pending</t>
        </is>
      </c>
      <c r="N498" s="32" t="inlineStr"/>
      <c r="O498" s="31" t="inlineStr"/>
    </row>
    <row r="499" ht="16" customHeight="1">
      <c r="A499" s="33" t="inlineStr">
        <is>
          <t>3b2cdcf02c13</t>
        </is>
      </c>
      <c r="B499" s="33" t="inlineStr">
        <is>
          <t>10/07/2026</t>
        </is>
      </c>
      <c r="C499" s="33" t="inlineStr">
        <is>
          <t>Wastewater (Hydraulic) Modeller</t>
        </is>
      </c>
      <c r="D499" s="33" t="inlineStr">
        <is>
          <t>Tetra Tech Europe</t>
        </is>
      </c>
      <c r="E499" s="33" t="inlineStr">
        <is>
          <t>Warrington, England, United Kingdom</t>
        </is>
      </c>
      <c r="F499" s="33" t="inlineStr">
        <is>
          <t>Not specified</t>
        </is>
      </c>
      <c r="G499" s="33" t="inlineStr">
        <is>
          <t>LinkedIn</t>
        </is>
      </c>
      <c r="H499" s="29" t="inlineStr">
        <is>
          <t>CONFIRMED</t>
        </is>
      </c>
      <c r="I499" s="33" t="n">
        <v>50</v>
      </c>
      <c r="J499" s="34" t="inlineStr">
        <is>
          <t>Apply Here</t>
        </is>
      </c>
      <c r="K499" s="35" t="inlineStr"/>
      <c r="L499" s="35" t="inlineStr"/>
      <c r="M499" s="35" t="inlineStr">
        <is>
          <t>Pending</t>
        </is>
      </c>
      <c r="N499" s="36" t="inlineStr"/>
      <c r="O499" s="35" t="inlineStr"/>
    </row>
    <row r="500" ht="16" customHeight="1">
      <c r="A500" s="28" t="inlineStr">
        <is>
          <t>f39fdcad9831</t>
        </is>
      </c>
      <c r="B500" s="28" t="inlineStr">
        <is>
          <t>12/07/2026</t>
        </is>
      </c>
      <c r="C500" s="28" t="inlineStr">
        <is>
          <t>Design Manager (Wastewater Infrastructure)</t>
        </is>
      </c>
      <c r="D500" s="28" t="inlineStr">
        <is>
          <t>COWI</t>
        </is>
      </c>
      <c r="E500" s="28" t="inlineStr">
        <is>
          <t>London, England, United Kingdom</t>
        </is>
      </c>
      <c r="F500" s="28" t="inlineStr">
        <is>
          <t>Not specified</t>
        </is>
      </c>
      <c r="G500" s="28" t="inlineStr">
        <is>
          <t>LinkedIn</t>
        </is>
      </c>
      <c r="H500" s="29" t="inlineStr">
        <is>
          <t>CONFIRMED</t>
        </is>
      </c>
      <c r="I500" s="28" t="n">
        <v>65</v>
      </c>
      <c r="J500" s="30" t="inlineStr">
        <is>
          <t>Apply Here</t>
        </is>
      </c>
      <c r="K500" s="31" t="inlineStr"/>
      <c r="L500" s="31" t="inlineStr"/>
      <c r="M500" s="31" t="inlineStr">
        <is>
          <t>Pending</t>
        </is>
      </c>
      <c r="N500" s="32" t="inlineStr"/>
      <c r="O500" s="31" t="inlineStr"/>
    </row>
    <row r="501" ht="16" customHeight="1">
      <c r="A501" s="33" t="inlineStr">
        <is>
          <t>9cafd590cacc</t>
        </is>
      </c>
      <c r="B501" s="33" t="inlineStr">
        <is>
          <t>12/07/2026</t>
        </is>
      </c>
      <c r="C501" s="33" t="inlineStr">
        <is>
          <t>Civil Design Engineer (Water/Wastewater)</t>
        </is>
      </c>
      <c r="D501" s="33" t="inlineStr">
        <is>
          <t>COWI</t>
        </is>
      </c>
      <c r="E501" s="33" t="inlineStr">
        <is>
          <t>York, England, United Kingdom</t>
        </is>
      </c>
      <c r="F501" s="33" t="inlineStr">
        <is>
          <t>Not specified</t>
        </is>
      </c>
      <c r="G501" s="33" t="inlineStr">
        <is>
          <t>LinkedIn</t>
        </is>
      </c>
      <c r="H501" s="29" t="inlineStr">
        <is>
          <t>CONFIRMED</t>
        </is>
      </c>
      <c r="I501" s="33" t="n">
        <v>50</v>
      </c>
      <c r="J501" s="34" t="inlineStr">
        <is>
          <t>Apply Here</t>
        </is>
      </c>
      <c r="K501" s="35" t="inlineStr"/>
      <c r="L501" s="35" t="inlineStr"/>
      <c r="M501" s="35" t="inlineStr">
        <is>
          <t>Pending</t>
        </is>
      </c>
      <c r="N501" s="36" t="inlineStr"/>
      <c r="O501" s="35" t="inlineStr"/>
    </row>
    <row r="502" ht="16" customHeight="1">
      <c r="A502" s="28" t="inlineStr">
        <is>
          <t>b057a813b7a3</t>
        </is>
      </c>
      <c r="B502" s="28" t="inlineStr">
        <is>
          <t>13/07/2026</t>
        </is>
      </c>
      <c r="C502" s="28" t="inlineStr">
        <is>
          <t>Civil Design Engineer (Water/Wastewater)</t>
        </is>
      </c>
      <c r="D502" s="28" t="inlineStr">
        <is>
          <t>COWI</t>
        </is>
      </c>
      <c r="E502" s="28" t="inlineStr">
        <is>
          <t>London, England, United Kingdom</t>
        </is>
      </c>
      <c r="F502" s="28" t="inlineStr">
        <is>
          <t>Not specified</t>
        </is>
      </c>
      <c r="G502" s="28" t="inlineStr">
        <is>
          <t>LinkedIn</t>
        </is>
      </c>
      <c r="H502" s="29" t="inlineStr">
        <is>
          <t>CONFIRMED</t>
        </is>
      </c>
      <c r="I502" s="28" t="n">
        <v>50</v>
      </c>
      <c r="J502" s="30" t="inlineStr">
        <is>
          <t>Apply Here</t>
        </is>
      </c>
      <c r="K502" s="31" t="inlineStr"/>
      <c r="L502" s="31" t="inlineStr"/>
      <c r="M502" s="31" t="inlineStr">
        <is>
          <t>Pending</t>
        </is>
      </c>
      <c r="N502" s="32" t="inlineStr"/>
      <c r="O502" s="31" t="inlineStr"/>
    </row>
    <row r="503" ht="16" customHeight="1">
      <c r="A503" s="33" t="inlineStr">
        <is>
          <t>7f2df345a7e8</t>
        </is>
      </c>
      <c r="B503" s="33" t="inlineStr">
        <is>
          <t>14/07/2026</t>
        </is>
      </c>
      <c r="C503" s="33" t="inlineStr">
        <is>
          <t>Wastewater Hydraulic Modeller</t>
        </is>
      </c>
      <c r="D503" s="33" t="inlineStr">
        <is>
          <t>AtkinsRéalis</t>
        </is>
      </c>
      <c r="E503" s="33" t="inlineStr">
        <is>
          <t>Derby, England, United Kingdom</t>
        </is>
      </c>
      <c r="F503" s="33" t="inlineStr">
        <is>
          <t>Not specified</t>
        </is>
      </c>
      <c r="G503" s="33" t="inlineStr">
        <is>
          <t>LinkedIn</t>
        </is>
      </c>
      <c r="H503" s="29" t="inlineStr">
        <is>
          <t>CONFIRMED</t>
        </is>
      </c>
      <c r="I503" s="33" t="n">
        <v>90</v>
      </c>
      <c r="J503" s="34" t="inlineStr">
        <is>
          <t>Apply Here</t>
        </is>
      </c>
      <c r="K503" s="35" t="inlineStr"/>
      <c r="L503" s="35" t="inlineStr"/>
      <c r="M503" s="35" t="inlineStr">
        <is>
          <t>Pending</t>
        </is>
      </c>
      <c r="N503" s="36" t="inlineStr"/>
      <c r="O503" s="35" t="inlineStr"/>
    </row>
    <row r="504" ht="16" customHeight="1">
      <c r="A504" s="28" t="inlineStr">
        <is>
          <t>1cb232e77254</t>
        </is>
      </c>
      <c r="B504" s="28" t="inlineStr">
        <is>
          <t>14/07/2026</t>
        </is>
      </c>
      <c r="C504" s="28" t="inlineStr">
        <is>
          <t>Wastewater Hydraulic Modeller – Modeller to Associate</t>
        </is>
      </c>
      <c r="D504" s="28" t="inlineStr">
        <is>
          <t>AtkinsRéalis</t>
        </is>
      </c>
      <c r="E504" s="28" t="inlineStr">
        <is>
          <t>Newcastle Upon Tyne, England, United Kingdom</t>
        </is>
      </c>
      <c r="F504" s="28" t="inlineStr">
        <is>
          <t>Not specified</t>
        </is>
      </c>
      <c r="G504" s="28" t="inlineStr">
        <is>
          <t>LinkedIn</t>
        </is>
      </c>
      <c r="H504" s="29" t="inlineStr">
        <is>
          <t>CONFIRMED</t>
        </is>
      </c>
      <c r="I504" s="28" t="n">
        <v>90</v>
      </c>
      <c r="J504" s="30" t="inlineStr">
        <is>
          <t>Apply Here</t>
        </is>
      </c>
      <c r="K504" s="31" t="inlineStr"/>
      <c r="L504" s="31" t="inlineStr"/>
      <c r="M504" s="31" t="inlineStr">
        <is>
          <t>Pending</t>
        </is>
      </c>
      <c r="N504" s="32" t="inlineStr"/>
      <c r="O504" s="31" t="inlineStr"/>
    </row>
    <row r="505" ht="16" customHeight="1">
      <c r="A505" s="33" t="inlineStr">
        <is>
          <t>da2627f3f4a7</t>
        </is>
      </c>
      <c r="B505" s="33" t="inlineStr">
        <is>
          <t>16/07/2026</t>
        </is>
      </c>
      <c r="C505" s="33" t="inlineStr">
        <is>
          <t>Hydraulic Modeller - UK Water / Wastewater</t>
        </is>
      </c>
      <c r="D505" s="33" t="inlineStr">
        <is>
          <t>Egis</t>
        </is>
      </c>
      <c r="E505" s="33" t="inlineStr">
        <is>
          <t>Manchester, England, United Kingdom</t>
        </is>
      </c>
      <c r="F505" s="33" t="inlineStr">
        <is>
          <t>Not specified</t>
        </is>
      </c>
      <c r="G505" s="33" t="inlineStr">
        <is>
          <t>LinkedIn</t>
        </is>
      </c>
      <c r="H505" s="29" t="inlineStr">
        <is>
          <t>CONFIRMED</t>
        </is>
      </c>
      <c r="I505" s="33" t="n">
        <v>90</v>
      </c>
      <c r="J505" s="34" t="inlineStr">
        <is>
          <t>Apply Here</t>
        </is>
      </c>
      <c r="K505" s="35" t="inlineStr"/>
      <c r="L505" s="35" t="inlineStr"/>
      <c r="M505" s="35" t="inlineStr">
        <is>
          <t>Pending</t>
        </is>
      </c>
      <c r="N505" s="36" t="inlineStr"/>
      <c r="O505" s="35" t="inlineStr"/>
    </row>
    <row r="506" ht="16" customHeight="1">
      <c r="A506" s="28" t="inlineStr">
        <is>
          <t>2a04cd87ddd4</t>
        </is>
      </c>
      <c r="B506" s="28" t="inlineStr">
        <is>
          <t>18/07/2026</t>
        </is>
      </c>
      <c r="C506" s="28" t="inlineStr">
        <is>
          <t>Wastewater Hydraulic Modeller</t>
        </is>
      </c>
      <c r="D506" s="28" t="inlineStr">
        <is>
          <t>AtkinsRéalis</t>
        </is>
      </c>
      <c r="E506" s="28" t="inlineStr">
        <is>
          <t>Bristol, England, United Kingdom</t>
        </is>
      </c>
      <c r="F506" s="28" t="inlineStr">
        <is>
          <t>Not specified</t>
        </is>
      </c>
      <c r="G506" s="28" t="inlineStr">
        <is>
          <t>LinkedIn</t>
        </is>
      </c>
      <c r="H506" s="29" t="inlineStr">
        <is>
          <t>CONFIRMED</t>
        </is>
      </c>
      <c r="I506" s="28" t="n">
        <v>90</v>
      </c>
      <c r="J506" s="30" t="inlineStr">
        <is>
          <t>Apply Here</t>
        </is>
      </c>
      <c r="K506" s="31" t="inlineStr"/>
      <c r="L506" s="31" t="inlineStr"/>
      <c r="M506" s="31" t="inlineStr">
        <is>
          <t>Pending</t>
        </is>
      </c>
      <c r="N506" s="32" t="inlineStr"/>
      <c r="O506" s="31" t="inlineStr"/>
    </row>
    <row r="507" ht="16" customHeight="1">
      <c r="A507" s="33" t="inlineStr">
        <is>
          <t>897f2563c016</t>
        </is>
      </c>
      <c r="B507" s="33" t="inlineStr">
        <is>
          <t>24/07/2026</t>
        </is>
      </c>
      <c r="C507" s="33" t="inlineStr">
        <is>
          <t>Clean Water (Hydraulic) Modeller</t>
        </is>
      </c>
      <c r="D507" s="33" t="inlineStr">
        <is>
          <t>Tetra Tech Europe</t>
        </is>
      </c>
      <c r="E507" s="33" t="inlineStr">
        <is>
          <t>Derby, England, United Kingdom</t>
        </is>
      </c>
      <c r="F507" s="33" t="inlineStr">
        <is>
          <t>Not specified</t>
        </is>
      </c>
      <c r="G507" s="33" t="inlineStr">
        <is>
          <t>LinkedIn</t>
        </is>
      </c>
      <c r="H507" s="29" t="inlineStr">
        <is>
          <t>CONFIRMED</t>
        </is>
      </c>
      <c r="I507" s="33" t="n">
        <v>65</v>
      </c>
      <c r="J507" s="34" t="inlineStr">
        <is>
          <t>Apply Here</t>
        </is>
      </c>
      <c r="K507" s="35" t="inlineStr"/>
      <c r="L507" s="35" t="inlineStr"/>
      <c r="M507" s="35" t="inlineStr">
        <is>
          <t>Pending</t>
        </is>
      </c>
      <c r="N507" s="36" t="inlineStr"/>
      <c r="O507" s="35" t="inlineStr"/>
    </row>
    <row r="508" ht="16" customHeight="1">
      <c r="A508" s="28" t="inlineStr">
        <is>
          <t>a0bcaba9737a</t>
        </is>
      </c>
      <c r="B508" s="28" t="inlineStr">
        <is>
          <t>24/07/2026</t>
        </is>
      </c>
      <c r="C508" s="28" t="inlineStr">
        <is>
          <t>Wastewater Network Modeller</t>
        </is>
      </c>
      <c r="D508" s="28" t="inlineStr">
        <is>
          <t>Mott MacDonald</t>
        </is>
      </c>
      <c r="E508" s="28" t="inlineStr">
        <is>
          <t>Leeds, England, United Kingdom</t>
        </is>
      </c>
      <c r="F508" s="28" t="inlineStr">
        <is>
          <t>Not specified</t>
        </is>
      </c>
      <c r="G508" s="28" t="inlineStr">
        <is>
          <t>LinkedIn</t>
        </is>
      </c>
      <c r="H508" s="29" t="inlineStr">
        <is>
          <t>CONFIRMED</t>
        </is>
      </c>
      <c r="I508" s="28" t="n">
        <v>50</v>
      </c>
      <c r="J508" s="30" t="inlineStr">
        <is>
          <t>Apply Here</t>
        </is>
      </c>
      <c r="K508" s="31" t="inlineStr"/>
      <c r="L508" s="31" t="inlineStr"/>
      <c r="M508" s="31" t="inlineStr">
        <is>
          <t>Pending</t>
        </is>
      </c>
      <c r="N508" s="32" t="inlineStr"/>
      <c r="O508" s="31" t="inlineStr"/>
    </row>
    <row r="509" ht="16" customHeight="1">
      <c r="A509" s="33" t="inlineStr">
        <is>
          <t>89ff0644d75f</t>
        </is>
      </c>
      <c r="B509" s="33" t="inlineStr">
        <is>
          <t>26/07/2026</t>
        </is>
      </c>
      <c r="C509" s="33" t="inlineStr">
        <is>
          <t>Civil Design Engineer - Water Sector AMP8</t>
        </is>
      </c>
      <c r="D509" s="33" t="inlineStr">
        <is>
          <t>Arcadis</t>
        </is>
      </c>
      <c r="E509" s="33" t="inlineStr">
        <is>
          <t>Leeds, England, United Kingdom</t>
        </is>
      </c>
      <c r="F509" s="33" t="inlineStr">
        <is>
          <t>Not specified</t>
        </is>
      </c>
      <c r="G509" s="33" t="inlineStr">
        <is>
          <t>LinkedIn</t>
        </is>
      </c>
      <c r="H509" s="29" t="inlineStr">
        <is>
          <t>CONFIRMED</t>
        </is>
      </c>
      <c r="I509" s="33" t="n">
        <v>75</v>
      </c>
      <c r="J509" s="34" t="inlineStr">
        <is>
          <t>Apply Here</t>
        </is>
      </c>
      <c r="K509" s="35" t="inlineStr"/>
      <c r="L509" s="35" t="inlineStr"/>
      <c r="M509" s="35" t="inlineStr">
        <is>
          <t>Pending</t>
        </is>
      </c>
      <c r="N509" s="36" t="inlineStr"/>
      <c r="O509" s="35" t="inlineStr"/>
    </row>
    <row r="510" ht="16" customHeight="1">
      <c r="A510" s="28" t="inlineStr">
        <is>
          <t>88d6d0bc26a7</t>
        </is>
      </c>
      <c r="B510" s="28" t="inlineStr">
        <is>
          <t>26/07/2026</t>
        </is>
      </c>
      <c r="C510" s="28" t="inlineStr">
        <is>
          <t>Wastewater Network Modeller</t>
        </is>
      </c>
      <c r="D510" s="28" t="inlineStr">
        <is>
          <t>WSP</t>
        </is>
      </c>
      <c r="E510" s="28" t="inlineStr">
        <is>
          <t>Aldwych, Central London</t>
        </is>
      </c>
      <c r="F510" s="28" t="inlineStr">
        <is>
          <t>£46,441 – £46,441</t>
        </is>
      </c>
      <c r="G510" s="28" t="inlineStr">
        <is>
          <t>Adzuna UK</t>
        </is>
      </c>
      <c r="H510" s="29" t="inlineStr">
        <is>
          <t>CONFIRMED</t>
        </is>
      </c>
      <c r="I510" s="28" t="n">
        <v>70</v>
      </c>
      <c r="J510" s="30" t="inlineStr">
        <is>
          <t>Apply Here</t>
        </is>
      </c>
      <c r="K510" s="31" t="inlineStr"/>
      <c r="L510" s="31" t="inlineStr"/>
      <c r="M510" s="31" t="inlineStr">
        <is>
          <t>Pending</t>
        </is>
      </c>
      <c r="N510" s="32" t="inlineStr"/>
      <c r="O510" s="31" t="inlineStr"/>
    </row>
    <row r="511" ht="16" customHeight="1">
      <c r="A511" s="33" t="inlineStr">
        <is>
          <t>f791bb862832</t>
        </is>
      </c>
      <c r="B511" s="33" t="inlineStr">
        <is>
          <t>29/07/2026</t>
        </is>
      </c>
      <c r="C511" s="33" t="inlineStr">
        <is>
          <t>Flood Risk &amp; Hydraulic Modeller</t>
        </is>
      </c>
      <c r="D511" s="33" t="inlineStr">
        <is>
          <t>Hays</t>
        </is>
      </c>
      <c r="E511" s="33" t="inlineStr">
        <is>
          <t>Lincolnshire, England, United Kingdom</t>
        </is>
      </c>
      <c r="F511" s="33" t="inlineStr">
        <is>
          <t>Not specified</t>
        </is>
      </c>
      <c r="G511" s="33" t="inlineStr">
        <is>
          <t>LinkedIn</t>
        </is>
      </c>
      <c r="H511" s="29" t="inlineStr">
        <is>
          <t>CONFIRMED</t>
        </is>
      </c>
      <c r="I511" s="33" t="n">
        <v>90</v>
      </c>
      <c r="J511" s="34" t="inlineStr">
        <is>
          <t>Apply Here</t>
        </is>
      </c>
      <c r="K511" s="35" t="inlineStr"/>
      <c r="L511" s="35" t="inlineStr"/>
      <c r="M511" s="35" t="inlineStr">
        <is>
          <t>Pending</t>
        </is>
      </c>
      <c r="N511" s="36" t="inlineStr"/>
      <c r="O511" s="35" t="inlineStr"/>
    </row>
    <row r="512" ht="16" customHeight="1">
      <c r="A512" s="28" t="inlineStr">
        <is>
          <t>6e6b31db3d1e</t>
        </is>
      </c>
      <c r="B512" s="28" t="inlineStr">
        <is>
          <t>30/07/2026</t>
        </is>
      </c>
      <c r="C512" s="28" t="inlineStr">
        <is>
          <t>Water Networks Modeller</t>
        </is>
      </c>
      <c r="D512" s="28" t="inlineStr">
        <is>
          <t>Stantec</t>
        </is>
      </c>
      <c r="E512" s="28" t="inlineStr">
        <is>
          <t>High Wycombe, England, United Kingdom</t>
        </is>
      </c>
      <c r="F512" s="28" t="inlineStr">
        <is>
          <t>Not specified</t>
        </is>
      </c>
      <c r="G512" s="28" t="inlineStr">
        <is>
          <t>LinkedIn</t>
        </is>
      </c>
      <c r="H512" s="29" t="inlineStr">
        <is>
          <t>CONFIRMED</t>
        </is>
      </c>
      <c r="I512" s="28" t="n">
        <v>50</v>
      </c>
      <c r="J512" s="30" t="inlineStr">
        <is>
          <t>Apply Here</t>
        </is>
      </c>
      <c r="K512" s="31" t="inlineStr"/>
      <c r="L512" s="31" t="inlineStr"/>
      <c r="M512" s="31" t="inlineStr">
        <is>
          <t>Pending</t>
        </is>
      </c>
      <c r="N512" s="32" t="inlineStr"/>
      <c r="O512" s="31" t="inlineStr"/>
    </row>
    <row r="513" ht="16" customHeight="1">
      <c r="A513" s="33" t="inlineStr">
        <is>
          <t>748095b40beb</t>
        </is>
      </c>
      <c r="B513" s="33" t="inlineStr">
        <is>
          <t>31/07/2026</t>
        </is>
      </c>
      <c r="C513" s="33" t="inlineStr">
        <is>
          <t>Wastewater (Hydraulic) Modeller</t>
        </is>
      </c>
      <c r="D513" s="33" t="inlineStr">
        <is>
          <t>Tetra Tech Europe</t>
        </is>
      </c>
      <c r="E513" s="33" t="inlineStr">
        <is>
          <t>Leeds, England, United Kingdom</t>
        </is>
      </c>
      <c r="F513" s="33" t="inlineStr">
        <is>
          <t>Not specified</t>
        </is>
      </c>
      <c r="G513" s="33" t="inlineStr">
        <is>
          <t>LinkedIn</t>
        </is>
      </c>
      <c r="H513" s="29" t="inlineStr">
        <is>
          <t>CONFIRMED</t>
        </is>
      </c>
      <c r="I513" s="33" t="n">
        <v>50</v>
      </c>
      <c r="J513" s="34" t="inlineStr">
        <is>
          <t>Apply Here</t>
        </is>
      </c>
      <c r="K513" s="35" t="inlineStr"/>
      <c r="L513" s="35" t="inlineStr"/>
      <c r="M513" s="35" t="inlineStr">
        <is>
          <t>Pending</t>
        </is>
      </c>
      <c r="N513" s="36" t="inlineStr"/>
      <c r="O513" s="35" t="inlineStr"/>
    </row>
    <row r="514" ht="16" customHeight="1">
      <c r="A514" s="28" t="inlineStr">
        <is>
          <t>15018702a1c1</t>
        </is>
      </c>
      <c r="B514" s="28" t="inlineStr">
        <is>
          <t>03/08/2026</t>
        </is>
      </c>
      <c r="C514" s="28" t="inlineStr">
        <is>
          <t>Civil Design Engineer (Water/Wastewater)</t>
        </is>
      </c>
      <c r="D514" s="28" t="inlineStr">
        <is>
          <t>COWI</t>
        </is>
      </c>
      <c r="E514" s="28" t="inlineStr">
        <is>
          <t>Derby, England, United Kingdom</t>
        </is>
      </c>
      <c r="F514" s="28" t="inlineStr">
        <is>
          <t>Not specified</t>
        </is>
      </c>
      <c r="G514" s="28" t="inlineStr">
        <is>
          <t>LinkedIn</t>
        </is>
      </c>
      <c r="H514" s="29" t="inlineStr">
        <is>
          <t>CONFIRMED</t>
        </is>
      </c>
      <c r="I514" s="28" t="n">
        <v>50</v>
      </c>
      <c r="J514" s="30" t="inlineStr">
        <is>
          <t>Apply Here</t>
        </is>
      </c>
      <c r="K514" s="31" t="inlineStr"/>
      <c r="L514" s="31" t="inlineStr"/>
      <c r="M514" s="31" t="inlineStr">
        <is>
          <t>Pending</t>
        </is>
      </c>
      <c r="N514" s="32" t="inlineStr"/>
      <c r="O514" s="31" t="inlineStr"/>
    </row>
    <row r="515" ht="16" customHeight="1">
      <c r="A515" s="33" t="inlineStr">
        <is>
          <t>d02efaa21a49</t>
        </is>
      </c>
      <c r="B515" s="33" t="inlineStr">
        <is>
          <t>05/08/2026</t>
        </is>
      </c>
      <c r="C515" s="33" t="inlineStr">
        <is>
          <t>Water Networks Modeller</t>
        </is>
      </c>
      <c r="D515" s="33" t="inlineStr">
        <is>
          <t>Stantec</t>
        </is>
      </c>
      <c r="E515" s="33" t="inlineStr">
        <is>
          <t>Worcestershire, England, United Kingdom</t>
        </is>
      </c>
      <c r="F515" s="33" t="inlineStr">
        <is>
          <t>Not specified</t>
        </is>
      </c>
      <c r="G515" s="33" t="inlineStr">
        <is>
          <t>LinkedIn</t>
        </is>
      </c>
      <c r="H515" s="29" t="inlineStr">
        <is>
          <t>CONFIRMED</t>
        </is>
      </c>
      <c r="I515" s="33" t="n">
        <v>50</v>
      </c>
      <c r="J515" s="34" t="inlineStr">
        <is>
          <t>Apply Here</t>
        </is>
      </c>
      <c r="K515" s="35" t="inlineStr"/>
      <c r="L515" s="35" t="inlineStr"/>
      <c r="M515" s="35" t="inlineStr">
        <is>
          <t>Pending</t>
        </is>
      </c>
      <c r="N515" s="36" t="inlineStr"/>
      <c r="O515" s="35" t="inlineStr"/>
    </row>
    <row r="516" ht="16" customHeight="1">
      <c r="A516" s="28" t="inlineStr">
        <is>
          <t>b453b9ec8edd</t>
        </is>
      </c>
      <c r="B516" s="28" t="inlineStr">
        <is>
          <t>06/08/2026</t>
        </is>
      </c>
      <c r="C516" s="28" t="inlineStr">
        <is>
          <t>Civil Design Engineering Manager (Water Services)</t>
        </is>
      </c>
      <c r="D516" s="28" t="inlineStr">
        <is>
          <t>Binnies</t>
        </is>
      </c>
      <c r="E516" s="28" t="inlineStr">
        <is>
          <t>West Midlands, England, United Kingdom</t>
        </is>
      </c>
      <c r="F516" s="28" t="inlineStr">
        <is>
          <t>Not specified</t>
        </is>
      </c>
      <c r="G516" s="28" t="inlineStr">
        <is>
          <t>LinkedIn</t>
        </is>
      </c>
      <c r="H516" s="29" t="inlineStr">
        <is>
          <t>CONFIRMED</t>
        </is>
      </c>
      <c r="I516" s="28" t="n">
        <v>50</v>
      </c>
      <c r="J516" s="30" t="inlineStr">
        <is>
          <t>Apply Here</t>
        </is>
      </c>
      <c r="K516" s="31" t="inlineStr"/>
      <c r="L516" s="31" t="inlineStr"/>
      <c r="M516" s="31" t="inlineStr">
        <is>
          <t>Pending</t>
        </is>
      </c>
      <c r="N516" s="32" t="inlineStr"/>
      <c r="O516" s="31" t="inlineStr"/>
    </row>
    <row r="517" ht="16" customHeight="1">
      <c r="A517" s="33" t="inlineStr">
        <is>
          <t>d5559706391a</t>
        </is>
      </c>
      <c r="B517" s="33" t="inlineStr">
        <is>
          <t>09/08/2026</t>
        </is>
      </c>
      <c r="C517" s="33" t="inlineStr">
        <is>
          <t>Expression of Interest - Design Manager - Water Sector</t>
        </is>
      </c>
      <c r="D517" s="33" t="inlineStr">
        <is>
          <t>Stantec</t>
        </is>
      </c>
      <c r="E517" s="33" t="inlineStr">
        <is>
          <t>Reading, England, United Kingdom</t>
        </is>
      </c>
      <c r="F517" s="33" t="inlineStr">
        <is>
          <t>Not specified</t>
        </is>
      </c>
      <c r="G517" s="33" t="inlineStr">
        <is>
          <t>LinkedIn</t>
        </is>
      </c>
      <c r="H517" s="29" t="inlineStr">
        <is>
          <t>CONFIRMED</t>
        </is>
      </c>
      <c r="I517" s="33" t="n">
        <v>50</v>
      </c>
      <c r="J517" s="34" t="inlineStr">
        <is>
          <t>Apply Here</t>
        </is>
      </c>
      <c r="K517" s="35" t="inlineStr"/>
      <c r="L517" s="35" t="inlineStr"/>
      <c r="M517" s="35" t="inlineStr">
        <is>
          <t>Pending</t>
        </is>
      </c>
      <c r="N517" s="36" t="inlineStr"/>
      <c r="O517" s="35" t="inlineStr"/>
    </row>
    <row r="518" ht="16" customHeight="1">
      <c r="A518" s="28" t="inlineStr">
        <is>
          <t>a2bdd8ef43c7</t>
        </is>
      </c>
      <c r="B518" s="28" t="inlineStr">
        <is>
          <t>11/08/2026</t>
        </is>
      </c>
      <c r="C518" s="28" t="inlineStr">
        <is>
          <t>Hydraulic Modellers (Flood Risk Management)</t>
        </is>
      </c>
      <c r="D518" s="28" t="inlineStr">
        <is>
          <t>Jacobs</t>
        </is>
      </c>
      <c r="E518" s="28" t="inlineStr">
        <is>
          <t>Belfast, Northern Ireland, United Kingdom</t>
        </is>
      </c>
      <c r="F518" s="28" t="inlineStr">
        <is>
          <t>Not specified</t>
        </is>
      </c>
      <c r="G518" s="28" t="inlineStr">
        <is>
          <t>LinkedIn</t>
        </is>
      </c>
      <c r="H518" s="37" t="inlineStr">
        <is>
          <t>LIKELY</t>
        </is>
      </c>
      <c r="I518" s="28" t="n">
        <v>90</v>
      </c>
      <c r="J518" s="30" t="inlineStr">
        <is>
          <t>Apply Here</t>
        </is>
      </c>
      <c r="K518" s="31" t="inlineStr"/>
      <c r="L518" s="31" t="inlineStr"/>
      <c r="M518" s="31" t="inlineStr">
        <is>
          <t>Pending</t>
        </is>
      </c>
      <c r="N518" s="32" t="inlineStr"/>
      <c r="O518" s="31" t="inlineStr"/>
    </row>
    <row r="519" ht="16" customHeight="1">
      <c r="A519" s="33" t="inlineStr">
        <is>
          <t>beee967d823c</t>
        </is>
      </c>
      <c r="B519" s="33" t="inlineStr">
        <is>
          <t>12/08/2026</t>
        </is>
      </c>
      <c r="C519" s="33" t="inlineStr">
        <is>
          <t>Hydraulic Modeller – Water &amp; Wastewater</t>
        </is>
      </c>
      <c r="D519" s="33" t="inlineStr">
        <is>
          <t>Arup</t>
        </is>
      </c>
      <c r="E519" s="33" t="inlineStr">
        <is>
          <t>Cardiff, Wales, United Kingdom</t>
        </is>
      </c>
      <c r="F519" s="33" t="inlineStr">
        <is>
          <t>Not specified</t>
        </is>
      </c>
      <c r="G519" s="33" t="inlineStr">
        <is>
          <t>LinkedIn</t>
        </is>
      </c>
      <c r="H519" s="29" t="inlineStr">
        <is>
          <t>CONFIRMED</t>
        </is>
      </c>
      <c r="I519" s="33" t="n">
        <v>90</v>
      </c>
      <c r="J519" s="34" t="inlineStr">
        <is>
          <t>Apply Here</t>
        </is>
      </c>
      <c r="K519" s="35" t="inlineStr"/>
      <c r="L519" s="35" t="inlineStr"/>
      <c r="M519" s="35" t="inlineStr">
        <is>
          <t>Pending</t>
        </is>
      </c>
      <c r="N519" s="36" t="inlineStr"/>
      <c r="O519" s="35" t="inlineStr"/>
    </row>
    <row r="520" ht="16" customHeight="1">
      <c r="A520" s="28" t="inlineStr">
        <is>
          <t>ed2752395740</t>
        </is>
      </c>
      <c r="B520" s="28" t="inlineStr">
        <is>
          <t>13/08/2026</t>
        </is>
      </c>
      <c r="C520" s="28" t="inlineStr">
        <is>
          <t>Hydrologist | Flood Hydraulic Modeller</t>
        </is>
      </c>
      <c r="D520" s="28" t="inlineStr">
        <is>
          <t>Stantec</t>
        </is>
      </c>
      <c r="E520" s="28" t="inlineStr">
        <is>
          <t>Leeds, England, United Kingdom</t>
        </is>
      </c>
      <c r="F520" s="28" t="inlineStr">
        <is>
          <t>Not specified</t>
        </is>
      </c>
      <c r="G520" s="28" t="inlineStr">
        <is>
          <t>LinkedIn</t>
        </is>
      </c>
      <c r="H520" s="29" t="inlineStr">
        <is>
          <t>CONFIRMED</t>
        </is>
      </c>
      <c r="I520" s="28" t="n">
        <v>90</v>
      </c>
      <c r="J520" s="30" t="inlineStr">
        <is>
          <t>Apply Here</t>
        </is>
      </c>
      <c r="K520" s="31" t="inlineStr"/>
      <c r="L520" s="31" t="inlineStr"/>
      <c r="M520" s="31" t="inlineStr">
        <is>
          <t>Pending</t>
        </is>
      </c>
      <c r="N520" s="32" t="inlineStr"/>
      <c r="O520" s="31" t="inlineStr"/>
    </row>
    <row r="521" ht="16" customHeight="1">
      <c r="A521" s="33" t="inlineStr">
        <is>
          <t>0b9c666f727c</t>
        </is>
      </c>
      <c r="B521" s="33" t="inlineStr">
        <is>
          <t>13/08/2026</t>
        </is>
      </c>
      <c r="C521" s="33" t="inlineStr">
        <is>
          <t>Civil Design Engineer - Water Industry</t>
        </is>
      </c>
      <c r="D521" s="33" t="inlineStr">
        <is>
          <t>Tetra Tech Europe</t>
        </is>
      </c>
      <c r="E521" s="33" t="inlineStr">
        <is>
          <t>Sheffield, England, United Kingdom</t>
        </is>
      </c>
      <c r="F521" s="33" t="inlineStr">
        <is>
          <t>Not specified</t>
        </is>
      </c>
      <c r="G521" s="33" t="inlineStr">
        <is>
          <t>LinkedIn</t>
        </is>
      </c>
      <c r="H521" s="29" t="inlineStr">
        <is>
          <t>CONFIRMED</t>
        </is>
      </c>
      <c r="I521" s="33" t="n">
        <v>50</v>
      </c>
      <c r="J521" s="34" t="inlineStr">
        <is>
          <t>Apply Here</t>
        </is>
      </c>
      <c r="K521" s="35" t="inlineStr"/>
      <c r="L521" s="35" t="inlineStr"/>
      <c r="M521" s="35" t="inlineStr">
        <is>
          <t>Pending</t>
        </is>
      </c>
      <c r="N521" s="36" t="inlineStr"/>
      <c r="O521" s="35" t="inlineStr"/>
    </row>
    <row r="522" ht="16" customHeight="1">
      <c r="A522" s="28" t="inlineStr">
        <is>
          <t>bee36f5b776f</t>
        </is>
      </c>
      <c r="B522" s="28" t="inlineStr">
        <is>
          <t>14/08/2026</t>
        </is>
      </c>
      <c r="C522" s="28" t="inlineStr">
        <is>
          <t>Clean Water (Hydraulic) Modeller</t>
        </is>
      </c>
      <c r="D522" s="28" t="inlineStr">
        <is>
          <t>Tetra Tech Europe</t>
        </is>
      </c>
      <c r="E522" s="28" t="inlineStr">
        <is>
          <t>Sheffield, England, United Kingdom</t>
        </is>
      </c>
      <c r="F522" s="28" t="inlineStr">
        <is>
          <t>Not specified</t>
        </is>
      </c>
      <c r="G522" s="28" t="inlineStr">
        <is>
          <t>LinkedIn</t>
        </is>
      </c>
      <c r="H522" s="29" t="inlineStr">
        <is>
          <t>CONFIRMED</t>
        </is>
      </c>
      <c r="I522" s="28" t="n">
        <v>65</v>
      </c>
      <c r="J522" s="30" t="inlineStr">
        <is>
          <t>Apply Here</t>
        </is>
      </c>
      <c r="K522" s="31" t="inlineStr"/>
      <c r="L522" s="31" t="inlineStr"/>
      <c r="M522" s="31" t="inlineStr">
        <is>
          <t>Pending</t>
        </is>
      </c>
      <c r="N522" s="32" t="inlineStr"/>
      <c r="O522" s="31" t="inlineStr"/>
    </row>
    <row r="523" ht="16" customHeight="1">
      <c r="A523" s="33" t="inlineStr">
        <is>
          <t>59369621a2b3</t>
        </is>
      </c>
      <c r="B523" s="33" t="inlineStr">
        <is>
          <t>14/08/2026</t>
        </is>
      </c>
      <c r="C523" s="33" t="inlineStr">
        <is>
          <t>Civil Design Engineer - Water Industry</t>
        </is>
      </c>
      <c r="D523" s="33" t="inlineStr">
        <is>
          <t>Tetra Tech Europe</t>
        </is>
      </c>
      <c r="E523" s="33" t="inlineStr">
        <is>
          <t>Derby, England, United Kingdom</t>
        </is>
      </c>
      <c r="F523" s="33" t="inlineStr">
        <is>
          <t>Not specified</t>
        </is>
      </c>
      <c r="G523" s="33" t="inlineStr">
        <is>
          <t>LinkedIn</t>
        </is>
      </c>
      <c r="H523" s="29" t="inlineStr">
        <is>
          <t>CONFIRMED</t>
        </is>
      </c>
      <c r="I523" s="33" t="n">
        <v>50</v>
      </c>
      <c r="J523" s="34" t="inlineStr">
        <is>
          <t>Apply Here</t>
        </is>
      </c>
      <c r="K523" s="35" t="inlineStr"/>
      <c r="L523" s="35" t="inlineStr"/>
      <c r="M523" s="35" t="inlineStr">
        <is>
          <t>Pending</t>
        </is>
      </c>
      <c r="N523" s="36" t="inlineStr"/>
      <c r="O523" s="35" t="inlineStr"/>
    </row>
    <row r="524" ht="16" customHeight="1">
      <c r="A524" s="28" t="inlineStr">
        <is>
          <t>fe2cfe9600ab</t>
        </is>
      </c>
      <c r="B524" s="28" t="inlineStr">
        <is>
          <t>14/08/2026</t>
        </is>
      </c>
      <c r="C524" s="28" t="inlineStr">
        <is>
          <t>Wastewater Network Modeller</t>
        </is>
      </c>
      <c r="D524" s="28" t="inlineStr">
        <is>
          <t>WSP in the UK &amp; Ireland</t>
        </is>
      </c>
      <c r="E524" s="28" t="inlineStr">
        <is>
          <t>Leeds, England, United Kingdom</t>
        </is>
      </c>
      <c r="F524" s="28" t="inlineStr">
        <is>
          <t>Not specified</t>
        </is>
      </c>
      <c r="G524" s="28" t="inlineStr">
        <is>
          <t>LinkedIn</t>
        </is>
      </c>
      <c r="H524" s="37" t="inlineStr">
        <is>
          <t>LIKELY</t>
        </is>
      </c>
      <c r="I524" s="28" t="n">
        <v>50</v>
      </c>
      <c r="J524" s="30" t="inlineStr">
        <is>
          <t>Apply Here</t>
        </is>
      </c>
      <c r="K524" s="31" t="inlineStr"/>
      <c r="L524" s="31" t="inlineStr"/>
      <c r="M524" s="31" t="inlineStr">
        <is>
          <t>Pending</t>
        </is>
      </c>
      <c r="N524" s="32" t="inlineStr"/>
      <c r="O524" s="31" t="inlineStr"/>
    </row>
    <row r="525" ht="16" customHeight="1">
      <c r="A525" s="33" t="inlineStr">
        <is>
          <t>76b6268967ad</t>
        </is>
      </c>
      <c r="B525" s="33" t="inlineStr">
        <is>
          <t>15/08/2026</t>
        </is>
      </c>
      <c r="C525" s="33" t="inlineStr">
        <is>
          <t>Civil Design Engineer – Water &amp; Utilities (ID: LEE0000P9)</t>
        </is>
      </c>
      <c r="D525" s="33" t="inlineStr">
        <is>
          <t>Arup</t>
        </is>
      </c>
      <c r="E525" s="33" t="inlineStr">
        <is>
          <t>Leeds, England, United Kingdom</t>
        </is>
      </c>
      <c r="F525" s="33" t="inlineStr">
        <is>
          <t>Not specified</t>
        </is>
      </c>
      <c r="G525" s="33" t="inlineStr">
        <is>
          <t>LinkedIn</t>
        </is>
      </c>
      <c r="H525" s="29" t="inlineStr">
        <is>
          <t>CONFIRMED</t>
        </is>
      </c>
      <c r="I525" s="33" t="n">
        <v>50</v>
      </c>
      <c r="J525" s="34" t="inlineStr">
        <is>
          <t>Apply Here</t>
        </is>
      </c>
      <c r="K525" s="35" t="inlineStr"/>
      <c r="L525" s="35" t="inlineStr"/>
      <c r="M525" s="35" t="inlineStr">
        <is>
          <t>Pending</t>
        </is>
      </c>
      <c r="N525" s="36" t="inlineStr"/>
      <c r="O525" s="35" t="inlineStr"/>
    </row>
    <row r="526" ht="16" customHeight="1">
      <c r="A526" s="28" t="inlineStr">
        <is>
          <t>2e259b12f489</t>
        </is>
      </c>
      <c r="B526" s="28" t="inlineStr">
        <is>
          <t>15/08/2026</t>
        </is>
      </c>
      <c r="C526" s="28" t="inlineStr">
        <is>
          <t>Civil Design Engineer – Water &amp; Utilities</t>
        </is>
      </c>
      <c r="D526" s="28" t="inlineStr">
        <is>
          <t>Arup</t>
        </is>
      </c>
      <c r="E526" s="28" t="inlineStr">
        <is>
          <t>Leeds, England, United Kingdom</t>
        </is>
      </c>
      <c r="F526" s="28" t="inlineStr">
        <is>
          <t>Not specified</t>
        </is>
      </c>
      <c r="G526" s="28" t="inlineStr">
        <is>
          <t>LinkedIn</t>
        </is>
      </c>
      <c r="H526" s="29" t="inlineStr">
        <is>
          <t>CONFIRMED</t>
        </is>
      </c>
      <c r="I526" s="28" t="n">
        <v>50</v>
      </c>
      <c r="J526" s="30" t="inlineStr">
        <is>
          <t>Apply Here</t>
        </is>
      </c>
      <c r="K526" s="31" t="inlineStr"/>
      <c r="L526" s="31" t="inlineStr"/>
      <c r="M526" s="31" t="inlineStr">
        <is>
          <t>Pending</t>
        </is>
      </c>
      <c r="N526" s="32" t="inlineStr"/>
      <c r="O526" s="31" t="inlineStr"/>
    </row>
    <row r="527" ht="16" customHeight="1">
      <c r="A527" s="33" t="inlineStr">
        <is>
          <t>3f3d46de5c70</t>
        </is>
      </c>
      <c r="B527" s="33" t="inlineStr">
        <is>
          <t>15/08/2026</t>
        </is>
      </c>
      <c r="C527" s="33" t="inlineStr">
        <is>
          <t>Civil Design Engineer - Water Industry</t>
        </is>
      </c>
      <c r="D527" s="33" t="inlineStr">
        <is>
          <t>Tetra Tech Europe</t>
        </is>
      </c>
      <c r="E527" s="33" t="inlineStr">
        <is>
          <t>Leeds, England, United Kingdom</t>
        </is>
      </c>
      <c r="F527" s="33" t="inlineStr">
        <is>
          <t>Not specified</t>
        </is>
      </c>
      <c r="G527" s="33" t="inlineStr">
        <is>
          <t>LinkedIn</t>
        </is>
      </c>
      <c r="H527" s="29" t="inlineStr">
        <is>
          <t>CONFIRMED</t>
        </is>
      </c>
      <c r="I527" s="33" t="n">
        <v>50</v>
      </c>
      <c r="J527" s="34" t="inlineStr">
        <is>
          <t>Apply Here</t>
        </is>
      </c>
      <c r="K527" s="35" t="inlineStr"/>
      <c r="L527" s="35" t="inlineStr"/>
      <c r="M527" s="35" t="inlineStr">
        <is>
          <t>Pending</t>
        </is>
      </c>
      <c r="N527" s="36" t="inlineStr"/>
      <c r="O527" s="35" t="inlineStr"/>
    </row>
    <row r="528" ht="16" customHeight="1">
      <c r="A528" s="28" t="inlineStr">
        <is>
          <t>f6cd68b257c9</t>
        </is>
      </c>
      <c r="B528" s="28" t="inlineStr">
        <is>
          <t>15/08/2026</t>
        </is>
      </c>
      <c r="C528" s="28" t="inlineStr">
        <is>
          <t>Wastewater Network Modeller</t>
        </is>
      </c>
      <c r="D528" s="28" t="inlineStr">
        <is>
          <t>WSP in the UK &amp; Ireland</t>
        </is>
      </c>
      <c r="E528" s="28" t="inlineStr">
        <is>
          <t>London, England, United Kingdom</t>
        </is>
      </c>
      <c r="F528" s="28" t="inlineStr">
        <is>
          <t>Not specified</t>
        </is>
      </c>
      <c r="G528" s="28" t="inlineStr">
        <is>
          <t>LinkedIn</t>
        </is>
      </c>
      <c r="H528" s="37" t="inlineStr">
        <is>
          <t>LIKELY</t>
        </is>
      </c>
      <c r="I528" s="28" t="n">
        <v>50</v>
      </c>
      <c r="J528" s="30" t="inlineStr">
        <is>
          <t>Apply Here</t>
        </is>
      </c>
      <c r="K528" s="31" t="inlineStr"/>
      <c r="L528" s="31" t="inlineStr"/>
      <c r="M528" s="31" t="inlineStr">
        <is>
          <t>Pending</t>
        </is>
      </c>
      <c r="N528" s="32" t="inlineStr"/>
      <c r="O528" s="31" t="inlineStr"/>
    </row>
    <row r="529" ht="16" customHeight="1">
      <c r="A529" s="33" t="inlineStr">
        <is>
          <t>1c809d406efa</t>
        </is>
      </c>
      <c r="B529" s="33" t="inlineStr">
        <is>
          <t>16/08/2026</t>
        </is>
      </c>
      <c r="C529" s="33" t="inlineStr">
        <is>
          <t>Civil Design Engineer - Water Sector AMP8</t>
        </is>
      </c>
      <c r="D529" s="33" t="inlineStr">
        <is>
          <t>Arcadis</t>
        </is>
      </c>
      <c r="E529" s="33" t="inlineStr">
        <is>
          <t>Manchester, England, United Kingdom</t>
        </is>
      </c>
      <c r="F529" s="33" t="inlineStr">
        <is>
          <t>Not specified</t>
        </is>
      </c>
      <c r="G529" s="33" t="inlineStr">
        <is>
          <t>LinkedIn</t>
        </is>
      </c>
      <c r="H529" s="29" t="inlineStr">
        <is>
          <t>CONFIRMED</t>
        </is>
      </c>
      <c r="I529" s="33" t="n">
        <v>75</v>
      </c>
      <c r="J529" s="34" t="inlineStr">
        <is>
          <t>Apply Here</t>
        </is>
      </c>
      <c r="K529" s="35" t="inlineStr"/>
      <c r="L529" s="35" t="inlineStr"/>
      <c r="M529" s="35" t="inlineStr">
        <is>
          <t>Pending</t>
        </is>
      </c>
      <c r="N529" s="36" t="inlineStr"/>
      <c r="O529" s="35" t="inlineStr"/>
    </row>
    <row r="530" ht="16" customHeight="1">
      <c r="A530" s="28" t="inlineStr">
        <is>
          <t>60cd2634e204</t>
        </is>
      </c>
      <c r="B530" s="28" t="inlineStr">
        <is>
          <t>16/08/2026</t>
        </is>
      </c>
      <c r="C530" s="28" t="inlineStr">
        <is>
          <t>Design Manager - Water Sector</t>
        </is>
      </c>
      <c r="D530" s="28" t="inlineStr">
        <is>
          <t>Stantec</t>
        </is>
      </c>
      <c r="E530" s="28" t="inlineStr">
        <is>
          <t>Brighton, England, United Kingdom</t>
        </is>
      </c>
      <c r="F530" s="28" t="inlineStr">
        <is>
          <t>Not specified</t>
        </is>
      </c>
      <c r="G530" s="28" t="inlineStr">
        <is>
          <t>LinkedIn</t>
        </is>
      </c>
      <c r="H530" s="29" t="inlineStr">
        <is>
          <t>CONFIRMED</t>
        </is>
      </c>
      <c r="I530" s="28" t="n">
        <v>50</v>
      </c>
      <c r="J530" s="30" t="inlineStr">
        <is>
          <t>Apply Here</t>
        </is>
      </c>
      <c r="K530" s="31" t="inlineStr"/>
      <c r="L530" s="31" t="inlineStr"/>
      <c r="M530" s="31" t="inlineStr">
        <is>
          <t>Pending</t>
        </is>
      </c>
      <c r="N530" s="32" t="inlineStr"/>
      <c r="O530" s="31" t="inlineStr"/>
    </row>
    <row r="531" ht="16" customHeight="1">
      <c r="A531" s="33" t="inlineStr">
        <is>
          <t>a2717522cd0c</t>
        </is>
      </c>
      <c r="B531" s="33" t="inlineStr">
        <is>
          <t>17/08/2026</t>
        </is>
      </c>
      <c r="C531" s="33" t="inlineStr">
        <is>
          <t>Civil Design Engineer - Water Sector AMP8</t>
        </is>
      </c>
      <c r="D531" s="33" t="inlineStr">
        <is>
          <t>Arcadis</t>
        </is>
      </c>
      <c r="E531" s="33" t="inlineStr">
        <is>
          <t>Cambridge, England, United Kingdom</t>
        </is>
      </c>
      <c r="F531" s="33" t="inlineStr">
        <is>
          <t>Not specified</t>
        </is>
      </c>
      <c r="G531" s="33" t="inlineStr">
        <is>
          <t>LinkedIn</t>
        </is>
      </c>
      <c r="H531" s="29" t="inlineStr">
        <is>
          <t>CONFIRMED</t>
        </is>
      </c>
      <c r="I531" s="33" t="n">
        <v>75</v>
      </c>
      <c r="J531" s="34" t="inlineStr">
        <is>
          <t>Apply Here</t>
        </is>
      </c>
      <c r="K531" s="35" t="inlineStr"/>
      <c r="L531" s="35" t="inlineStr"/>
      <c r="M531" s="35" t="inlineStr">
        <is>
          <t>Pending</t>
        </is>
      </c>
      <c r="N531" s="36" t="inlineStr"/>
      <c r="O531" s="35" t="inlineStr"/>
    </row>
    <row r="532" ht="16" customHeight="1">
      <c r="A532" s="28" t="inlineStr">
        <is>
          <t>36337a032691</t>
        </is>
      </c>
      <c r="B532" s="28" t="inlineStr">
        <is>
          <t>18/08/2026</t>
        </is>
      </c>
      <c r="C532" s="28" t="inlineStr">
        <is>
          <t>Design Engineer (Water)</t>
        </is>
      </c>
      <c r="D532" s="28" t="inlineStr">
        <is>
          <t>Ernest Gordon Recruitment</t>
        </is>
      </c>
      <c r="E532" s="28" t="inlineStr">
        <is>
          <t>Birmingham, England, United Kingdom</t>
        </is>
      </c>
      <c r="F532" s="28" t="inlineStr">
        <is>
          <t>Not specified</t>
        </is>
      </c>
      <c r="G532" s="28" t="inlineStr">
        <is>
          <t>LinkedIn</t>
        </is>
      </c>
      <c r="H532" s="29" t="inlineStr">
        <is>
          <t>CONFIRMED</t>
        </is>
      </c>
      <c r="I532" s="28" t="n">
        <v>50</v>
      </c>
      <c r="J532" s="30" t="inlineStr">
        <is>
          <t>Apply Here</t>
        </is>
      </c>
      <c r="K532" s="31" t="inlineStr"/>
      <c r="L532" s="31" t="inlineStr"/>
      <c r="M532" s="31" t="inlineStr">
        <is>
          <t>Pending</t>
        </is>
      </c>
      <c r="N532" s="32" t="inlineStr"/>
      <c r="O532" s="31" t="inlineStr"/>
    </row>
    <row r="533" ht="16" customHeight="1">
      <c r="A533" s="33" t="inlineStr">
        <is>
          <t>c79b6f4cab84</t>
        </is>
      </c>
      <c r="B533" s="33" t="inlineStr">
        <is>
          <t>21/08/2026</t>
        </is>
      </c>
      <c r="C533" s="33" t="inlineStr">
        <is>
          <t>Wastewater (Hydraulic) Modeller</t>
        </is>
      </c>
      <c r="D533" s="33" t="inlineStr">
        <is>
          <t>Tetra Tech Europe</t>
        </is>
      </c>
      <c r="E533" s="33" t="inlineStr">
        <is>
          <t>Sheffield, England, United Kingdom</t>
        </is>
      </c>
      <c r="F533" s="33" t="inlineStr">
        <is>
          <t>Not specified</t>
        </is>
      </c>
      <c r="G533" s="33" t="inlineStr">
        <is>
          <t>LinkedIn</t>
        </is>
      </c>
      <c r="H533" s="29" t="inlineStr">
        <is>
          <t>CONFIRMED</t>
        </is>
      </c>
      <c r="I533" s="33" t="n">
        <v>50</v>
      </c>
      <c r="J533" s="34" t="inlineStr">
        <is>
          <t>Apply Here</t>
        </is>
      </c>
      <c r="K533" s="35" t="inlineStr"/>
      <c r="L533" s="35" t="inlineStr"/>
      <c r="M533" s="35" t="inlineStr">
        <is>
          <t>Pending</t>
        </is>
      </c>
      <c r="N533" s="36" t="inlineStr"/>
      <c r="O533" s="35" t="inlineStr"/>
    </row>
    <row r="534" ht="16" customHeight="1">
      <c r="A534" s="28" t="inlineStr">
        <is>
          <t>ced89a3f9210</t>
        </is>
      </c>
      <c r="B534" s="28" t="inlineStr">
        <is>
          <t>22/08/2026</t>
        </is>
      </c>
      <c r="C534" s="28" t="inlineStr">
        <is>
          <t>Flood Risk &amp; Hydraulic Modeller</t>
        </is>
      </c>
      <c r="D534" s="28" t="inlineStr">
        <is>
          <t>Hays</t>
        </is>
      </c>
      <c r="E534" s="28" t="inlineStr">
        <is>
          <t>Lincolnshire, England, United Kingdom</t>
        </is>
      </c>
      <c r="F534" s="28" t="inlineStr">
        <is>
          <t>Not specified</t>
        </is>
      </c>
      <c r="G534" s="28" t="inlineStr">
        <is>
          <t>LinkedIn</t>
        </is>
      </c>
      <c r="H534" s="29" t="inlineStr">
        <is>
          <t>CONFIRMED</t>
        </is>
      </c>
      <c r="I534" s="28" t="n">
        <v>90</v>
      </c>
      <c r="J534" s="30" t="inlineStr">
        <is>
          <t>Apply Here</t>
        </is>
      </c>
      <c r="K534" s="31" t="inlineStr"/>
      <c r="L534" s="31" t="inlineStr"/>
      <c r="M534" s="31" t="inlineStr">
        <is>
          <t>Pending</t>
        </is>
      </c>
      <c r="N534" s="32" t="inlineStr"/>
      <c r="O534" s="31" t="inlineStr"/>
    </row>
    <row r="535" ht="16" customHeight="1">
      <c r="A535" s="33" t="inlineStr">
        <is>
          <t>a39fd6c12de7</t>
        </is>
      </c>
      <c r="B535" s="33" t="inlineStr">
        <is>
          <t>22/08/2026</t>
        </is>
      </c>
      <c r="C535" s="33" t="inlineStr">
        <is>
          <t>Civil Engineer - Wastewater Infrastructure</t>
        </is>
      </c>
      <c r="D535" s="33" t="inlineStr">
        <is>
          <t>Advance TRS</t>
        </is>
      </c>
      <c r="E535" s="33" t="inlineStr">
        <is>
          <t>Chalvey, Slough</t>
        </is>
      </c>
      <c r="F535" s="33" t="inlineStr">
        <is>
          <t>£40,000 – £55,000</t>
        </is>
      </c>
      <c r="G535" s="33" t="inlineStr">
        <is>
          <t>Adzuna UK</t>
        </is>
      </c>
      <c r="H535" s="29" t="inlineStr">
        <is>
          <t>CONFIRMED</t>
        </is>
      </c>
      <c r="I535" s="33" t="n">
        <v>85</v>
      </c>
      <c r="J535" s="34" t="inlineStr">
        <is>
          <t>Apply Here</t>
        </is>
      </c>
      <c r="K535" s="35" t="inlineStr"/>
      <c r="L535" s="35" t="inlineStr"/>
      <c r="M535" s="35" t="inlineStr">
        <is>
          <t>Pending</t>
        </is>
      </c>
      <c r="N535" s="36" t="inlineStr"/>
      <c r="O535" s="35" t="inlineStr"/>
    </row>
    <row r="536" ht="16" customHeight="1">
      <c r="A536" s="28" t="inlineStr">
        <is>
          <t>0eecaf8df3eb</t>
        </is>
      </c>
      <c r="B536" s="28" t="inlineStr">
        <is>
          <t>22/08/2026</t>
        </is>
      </c>
      <c r="C536" s="28" t="inlineStr">
        <is>
          <t>Design Engineer (Water)</t>
        </is>
      </c>
      <c r="D536" s="28" t="inlineStr">
        <is>
          <t>Ernest Gordon Recruitment</t>
        </is>
      </c>
      <c r="E536" s="28" t="inlineStr">
        <is>
          <t>Birmingham, England, United Kingdom</t>
        </is>
      </c>
      <c r="F536" s="28" t="inlineStr">
        <is>
          <t>Not specified</t>
        </is>
      </c>
      <c r="G536" s="28" t="inlineStr">
        <is>
          <t>LinkedIn</t>
        </is>
      </c>
      <c r="H536" s="29" t="inlineStr">
        <is>
          <t>CONFIRMED</t>
        </is>
      </c>
      <c r="I536" s="28" t="n">
        <v>50</v>
      </c>
      <c r="J536" s="30" t="inlineStr">
        <is>
          <t>Apply Here</t>
        </is>
      </c>
      <c r="K536" s="31" t="inlineStr"/>
      <c r="L536" s="31" t="inlineStr"/>
      <c r="M536" s="31" t="inlineStr">
        <is>
          <t>Pending</t>
        </is>
      </c>
      <c r="N536" s="32" t="inlineStr"/>
      <c r="O536" s="31" t="inlineStr"/>
    </row>
    <row r="537" ht="16" customHeight="1">
      <c r="A537" s="33" t="inlineStr">
        <is>
          <t>581cd4c03261</t>
        </is>
      </c>
      <c r="B537" s="33" t="inlineStr">
        <is>
          <t>22/08/2026</t>
        </is>
      </c>
      <c r="C537" s="33" t="inlineStr">
        <is>
          <t>NavCom Field Service Engineer</t>
        </is>
      </c>
      <c r="D537" s="33" t="inlineStr">
        <is>
          <t>Elvis Eckardt Recruitment</t>
        </is>
      </c>
      <c r="E537" s="33" t="inlineStr">
        <is>
          <t>Portsmouth, England, United Kingdom</t>
        </is>
      </c>
      <c r="F537" s="33" t="inlineStr">
        <is>
          <t>Not specified</t>
        </is>
      </c>
      <c r="G537" s="33" t="inlineStr">
        <is>
          <t>LinkedIn</t>
        </is>
      </c>
      <c r="H537" s="38" t="inlineStr">
        <is>
          <t>UNKNOWN</t>
        </is>
      </c>
      <c r="I537" s="33" t="n">
        <v>80</v>
      </c>
      <c r="J537" s="34" t="inlineStr">
        <is>
          <t>Apply Here</t>
        </is>
      </c>
      <c r="K537" s="35" t="inlineStr"/>
      <c r="L537" s="35" t="inlineStr"/>
      <c r="M537" s="35" t="inlineStr">
        <is>
          <t>Pending</t>
        </is>
      </c>
      <c r="N537" s="36" t="inlineStr"/>
      <c r="O537" s="35" t="inlineStr"/>
    </row>
    <row r="538" ht="16" customHeight="1">
      <c r="A538" s="28" t="inlineStr">
        <is>
          <t>386a5a4f6f74</t>
        </is>
      </c>
      <c r="B538" s="28" t="inlineStr">
        <is>
          <t>23/08/2026</t>
        </is>
      </c>
      <c r="C538" s="28" t="inlineStr">
        <is>
          <t>Engineering Supervisor (Pumps / Water Infrastructure)</t>
        </is>
      </c>
      <c r="D538" s="28" t="inlineStr">
        <is>
          <t>Ernest Gordon Recruitment</t>
        </is>
      </c>
      <c r="E538" s="28" t="inlineStr">
        <is>
          <t>Edinburgh, Scotland, United Kingdom</t>
        </is>
      </c>
      <c r="F538" s="28" t="inlineStr">
        <is>
          <t>Not specified</t>
        </is>
      </c>
      <c r="G538" s="28" t="inlineStr">
        <is>
          <t>LinkedIn</t>
        </is>
      </c>
      <c r="H538" s="29" t="inlineStr">
        <is>
          <t>CONFIRMED</t>
        </is>
      </c>
      <c r="I538" s="28" t="n">
        <v>65</v>
      </c>
      <c r="J538" s="30" t="inlineStr">
        <is>
          <t>Apply Here</t>
        </is>
      </c>
      <c r="K538" s="31" t="inlineStr"/>
      <c r="L538" s="31" t="inlineStr"/>
      <c r="M538" s="31" t="inlineStr">
        <is>
          <t>Pending</t>
        </is>
      </c>
      <c r="N538" s="32" t="inlineStr"/>
      <c r="O538" s="31" t="inlineStr"/>
    </row>
    <row r="539" ht="16" customHeight="1">
      <c r="A539" s="33" t="inlineStr">
        <is>
          <t>88f8298ef3f4</t>
        </is>
      </c>
      <c r="B539" s="33" t="inlineStr">
        <is>
          <t>27/08/2026</t>
        </is>
      </c>
      <c r="C539" s="33" t="inlineStr">
        <is>
          <t>Hydraulic Modeller - UK Water / Wastewater</t>
        </is>
      </c>
      <c r="D539" s="33" t="inlineStr">
        <is>
          <t>Egis</t>
        </is>
      </c>
      <c r="E539" s="33" t="inlineStr">
        <is>
          <t>Manchester, England, United Kingdom</t>
        </is>
      </c>
      <c r="F539" s="33" t="inlineStr">
        <is>
          <t>Not specified</t>
        </is>
      </c>
      <c r="G539" s="33" t="inlineStr">
        <is>
          <t>LinkedIn</t>
        </is>
      </c>
      <c r="H539" s="29" t="inlineStr">
        <is>
          <t>CONFIRMED</t>
        </is>
      </c>
      <c r="I539" s="33" t="n">
        <v>90</v>
      </c>
      <c r="J539" s="34" t="inlineStr">
        <is>
          <t>Apply Here</t>
        </is>
      </c>
      <c r="K539" s="35" t="inlineStr"/>
      <c r="L539" s="35" t="inlineStr"/>
      <c r="M539" s="35" t="inlineStr">
        <is>
          <t>Pending</t>
        </is>
      </c>
      <c r="N539" s="36" t="inlineStr"/>
      <c r="O539" s="35" t="inlineStr"/>
    </row>
    <row r="540" ht="16" customHeight="1">
      <c r="A540" s="28" t="inlineStr">
        <is>
          <t>edbcda21f3dd</t>
        </is>
      </c>
      <c r="B540" s="28" t="inlineStr">
        <is>
          <t>27/08/2026</t>
        </is>
      </c>
      <c r="C540" s="28" t="inlineStr">
        <is>
          <t>Civil Designer - Water</t>
        </is>
      </c>
      <c r="D540" s="28" t="inlineStr">
        <is>
          <t>Jacobs</t>
        </is>
      </c>
      <c r="E540" s="28" t="inlineStr">
        <is>
          <t>London, England, United Kingdom</t>
        </is>
      </c>
      <c r="F540" s="28" t="inlineStr">
        <is>
          <t>Not specified</t>
        </is>
      </c>
      <c r="G540" s="28" t="inlineStr">
        <is>
          <t>LinkedIn</t>
        </is>
      </c>
      <c r="H540" s="29" t="inlineStr">
        <is>
          <t>CONFIRMED</t>
        </is>
      </c>
      <c r="I540" s="28" t="n">
        <v>50</v>
      </c>
      <c r="J540" s="30" t="inlineStr">
        <is>
          <t>Apply Here</t>
        </is>
      </c>
      <c r="K540" s="31" t="inlineStr"/>
      <c r="L540" s="31" t="inlineStr"/>
      <c r="M540" s="31" t="inlineStr">
        <is>
          <t>Pending</t>
        </is>
      </c>
      <c r="N540" s="32" t="inlineStr"/>
      <c r="O540" s="31" t="inlineStr"/>
    </row>
    <row r="541" ht="16" customHeight="1">
      <c r="A541" s="33" t="inlineStr">
        <is>
          <t>b74854844894</t>
        </is>
      </c>
      <c r="B541" s="33" t="inlineStr">
        <is>
          <t>29/08/2026</t>
        </is>
      </c>
      <c r="C541" s="33" t="inlineStr">
        <is>
          <t>Design Manager - Water Sector</t>
        </is>
      </c>
      <c r="D541" s="33" t="inlineStr">
        <is>
          <t>Stantec</t>
        </is>
      </c>
      <c r="E541" s="33" t="inlineStr">
        <is>
          <t>Reading, England, United Kingdom</t>
        </is>
      </c>
      <c r="F541" s="33" t="inlineStr">
        <is>
          <t>Not specified</t>
        </is>
      </c>
      <c r="G541" s="33" t="inlineStr">
        <is>
          <t>LinkedIn</t>
        </is>
      </c>
      <c r="H541" s="29" t="inlineStr">
        <is>
          <t>CONFIRMED</t>
        </is>
      </c>
      <c r="I541" s="33" t="n">
        <v>50</v>
      </c>
      <c r="J541" s="34" t="inlineStr">
        <is>
          <t>Apply Here</t>
        </is>
      </c>
      <c r="K541" s="35" t="inlineStr"/>
      <c r="L541" s="35" t="inlineStr"/>
      <c r="M541" s="35" t="inlineStr">
        <is>
          <t>Pending</t>
        </is>
      </c>
      <c r="N541" s="36" t="inlineStr"/>
      <c r="O541" s="35" t="inlineStr"/>
    </row>
    <row r="542" ht="16" customHeight="1">
      <c r="A542" s="28" t="inlineStr">
        <is>
          <t>9b168736da61</t>
        </is>
      </c>
      <c r="B542" s="28" t="inlineStr">
        <is>
          <t>29/08/2026</t>
        </is>
      </c>
      <c r="C542" s="28" t="inlineStr">
        <is>
          <t>Wastewater Design Civil Engineer</t>
        </is>
      </c>
      <c r="D542" s="28" t="inlineStr">
        <is>
          <t>Finlay Jude Recruitment Ltd</t>
        </is>
      </c>
      <c r="E542" s="28" t="inlineStr">
        <is>
          <t>Batley, England, United Kingdom</t>
        </is>
      </c>
      <c r="F542" s="28" t="inlineStr">
        <is>
          <t>Not specified</t>
        </is>
      </c>
      <c r="G542" s="28" t="inlineStr">
        <is>
          <t>LinkedIn</t>
        </is>
      </c>
      <c r="H542" s="38" t="inlineStr">
        <is>
          <t>UNKNOWN</t>
        </is>
      </c>
      <c r="I542" s="28" t="n">
        <v>50</v>
      </c>
      <c r="J542" s="30" t="inlineStr">
        <is>
          <t>Apply Here</t>
        </is>
      </c>
      <c r="K542" s="31" t="inlineStr"/>
      <c r="L542" s="31" t="inlineStr"/>
      <c r="M542" s="31" t="inlineStr">
        <is>
          <t>Pending</t>
        </is>
      </c>
      <c r="N542" s="32" t="inlineStr"/>
      <c r="O542" s="31" t="inlineStr"/>
    </row>
    <row r="543" ht="16" customHeight="1">
      <c r="A543" s="33" t="inlineStr">
        <is>
          <t>6efe1e8e0e02</t>
        </is>
      </c>
      <c r="B543" s="33" t="inlineStr">
        <is>
          <t>30/08/2026</t>
        </is>
      </c>
      <c r="C543" s="33" t="inlineStr">
        <is>
          <t>Expression of Interest - Design Manager - Water Sector</t>
        </is>
      </c>
      <c r="D543" s="33" t="inlineStr">
        <is>
          <t>Stantec</t>
        </is>
      </c>
      <c r="E543" s="33" t="inlineStr">
        <is>
          <t>Brighton, England, United Kingdom</t>
        </is>
      </c>
      <c r="F543" s="33" t="inlineStr">
        <is>
          <t>Not specified</t>
        </is>
      </c>
      <c r="G543" s="33" t="inlineStr">
        <is>
          <t>LinkedIn</t>
        </is>
      </c>
      <c r="H543" s="29" t="inlineStr">
        <is>
          <t>CONFIRMED</t>
        </is>
      </c>
      <c r="I543" s="33" t="n">
        <v>50</v>
      </c>
      <c r="J543" s="34" t="inlineStr">
        <is>
          <t>Apply Here</t>
        </is>
      </c>
      <c r="K543" s="35" t="inlineStr"/>
      <c r="L543" s="35" t="inlineStr"/>
      <c r="M543" s="35" t="inlineStr">
        <is>
          <t>Pending</t>
        </is>
      </c>
      <c r="N543" s="36" t="inlineStr"/>
      <c r="O543" s="35" t="inlineStr"/>
    </row>
    <row r="544" ht="16" customHeight="1">
      <c r="A544" s="28" t="inlineStr">
        <is>
          <t>e5b5335346e5</t>
        </is>
      </c>
      <c r="B544" s="28" t="inlineStr">
        <is>
          <t>31/08/2026</t>
        </is>
      </c>
      <c r="C544" s="28" t="inlineStr">
        <is>
          <t>Expression of Interest - Design Manager - Water Sector</t>
        </is>
      </c>
      <c r="D544" s="28" t="inlineStr">
        <is>
          <t>Stantec</t>
        </is>
      </c>
      <c r="E544" s="28" t="inlineStr">
        <is>
          <t>Cambridge, England, United Kingdom</t>
        </is>
      </c>
      <c r="F544" s="28" t="inlineStr">
        <is>
          <t>Not specified</t>
        </is>
      </c>
      <c r="G544" s="28" t="inlineStr">
        <is>
          <t>LinkedIn</t>
        </is>
      </c>
      <c r="H544" s="29" t="inlineStr">
        <is>
          <t>CONFIRMED</t>
        </is>
      </c>
      <c r="I544" s="28" t="n">
        <v>50</v>
      </c>
      <c r="J544" s="30" t="inlineStr">
        <is>
          <t>Apply Here</t>
        </is>
      </c>
      <c r="K544" s="31" t="inlineStr"/>
      <c r="L544" s="31" t="inlineStr"/>
      <c r="M544" s="31" t="inlineStr">
        <is>
          <t>Pending</t>
        </is>
      </c>
      <c r="N544" s="32" t="inlineStr"/>
      <c r="O544" s="31" t="inlineStr"/>
    </row>
    <row r="545" ht="16" customHeight="1">
      <c r="A545" s="33" t="inlineStr">
        <is>
          <t>ea06c15702be</t>
        </is>
      </c>
      <c r="B545" s="33" t="inlineStr">
        <is>
          <t>01/09/2026</t>
        </is>
      </c>
      <c r="C545" s="33" t="inlineStr">
        <is>
          <t>Wastewater Network Modeller</t>
        </is>
      </c>
      <c r="D545" s="33" t="inlineStr">
        <is>
          <t>Mott MacDonald</t>
        </is>
      </c>
      <c r="E545" s="33" t="inlineStr">
        <is>
          <t>Leeds, England, United Kingdom</t>
        </is>
      </c>
      <c r="F545" s="33" t="inlineStr">
        <is>
          <t>Not specified</t>
        </is>
      </c>
      <c r="G545" s="33" t="inlineStr">
        <is>
          <t>LinkedIn</t>
        </is>
      </c>
      <c r="H545" s="29" t="inlineStr">
        <is>
          <t>CONFIRMED</t>
        </is>
      </c>
      <c r="I545" s="33" t="n">
        <v>50</v>
      </c>
      <c r="J545" s="34" t="inlineStr">
        <is>
          <t>Apply Here</t>
        </is>
      </c>
      <c r="K545" s="35" t="inlineStr"/>
      <c r="L545" s="35" t="inlineStr"/>
      <c r="M545" s="35" t="inlineStr">
        <is>
          <t>Pending</t>
        </is>
      </c>
      <c r="N545" s="36" t="inlineStr"/>
      <c r="O545" s="35" t="inlineStr"/>
    </row>
    <row r="546" ht="16" customHeight="1">
      <c r="A546" s="28" t="inlineStr">
        <is>
          <t>537082c150a4</t>
        </is>
      </c>
      <c r="B546" s="28" t="inlineStr">
        <is>
          <t>04/09/2026</t>
        </is>
      </c>
      <c r="C546" s="28" t="inlineStr">
        <is>
          <t>Civil Design Engineer - Water Industry</t>
        </is>
      </c>
      <c r="D546" s="28" t="inlineStr">
        <is>
          <t>Tetra Tech Europe</t>
        </is>
      </c>
      <c r="E546" s="28" t="inlineStr">
        <is>
          <t>Exeter, England, United Kingdom</t>
        </is>
      </c>
      <c r="F546" s="28" t="inlineStr">
        <is>
          <t>Not specified</t>
        </is>
      </c>
      <c r="G546" s="28" t="inlineStr">
        <is>
          <t>LinkedIn</t>
        </is>
      </c>
      <c r="H546" s="29" t="inlineStr">
        <is>
          <t>CONFIRMED</t>
        </is>
      </c>
      <c r="I546" s="28" t="n">
        <v>50</v>
      </c>
      <c r="J546" s="30" t="inlineStr">
        <is>
          <t>Apply Here</t>
        </is>
      </c>
      <c r="K546" s="31" t="inlineStr"/>
      <c r="L546" s="31" t="inlineStr"/>
      <c r="M546" s="31" t="inlineStr">
        <is>
          <t>Pending</t>
        </is>
      </c>
      <c r="N546" s="32" t="inlineStr"/>
      <c r="O546" s="31" t="inlineStr"/>
    </row>
    <row r="547" ht="16" customHeight="1">
      <c r="A547" s="33" t="inlineStr">
        <is>
          <t>ac118ce7168e</t>
        </is>
      </c>
      <c r="B547" s="33" t="inlineStr">
        <is>
          <t>04/09/2026</t>
        </is>
      </c>
      <c r="C547" s="33" t="inlineStr">
        <is>
          <t>Wastewater Network Modeller</t>
        </is>
      </c>
      <c r="D547" s="33" t="inlineStr">
        <is>
          <t>WSP in the UK &amp; Ireland</t>
        </is>
      </c>
      <c r="E547" s="33" t="inlineStr">
        <is>
          <t>Newcastle Upon Tyne, England, United Kingdom</t>
        </is>
      </c>
      <c r="F547" s="33" t="inlineStr">
        <is>
          <t>Not specified</t>
        </is>
      </c>
      <c r="G547" s="33" t="inlineStr">
        <is>
          <t>LinkedIn</t>
        </is>
      </c>
      <c r="H547" s="37" t="inlineStr">
        <is>
          <t>LIKELY</t>
        </is>
      </c>
      <c r="I547" s="33" t="n">
        <v>50</v>
      </c>
      <c r="J547" s="34" t="inlineStr">
        <is>
          <t>Apply Here</t>
        </is>
      </c>
      <c r="K547" s="35" t="inlineStr"/>
      <c r="L547" s="35" t="inlineStr"/>
      <c r="M547" s="35" t="inlineStr">
        <is>
          <t>Pending</t>
        </is>
      </c>
      <c r="N547" s="36" t="inlineStr"/>
      <c r="O547" s="35" t="inlineStr"/>
    </row>
    <row r="548" ht="16" customHeight="1">
      <c r="A548" s="28" t="inlineStr">
        <is>
          <t>ce85463f0e98</t>
        </is>
      </c>
      <c r="B548" s="28" t="inlineStr">
        <is>
          <t>05/09/2026</t>
        </is>
      </c>
      <c r="C548" s="28" t="inlineStr">
        <is>
          <t>Civil Design Engineer - Water Industry</t>
        </is>
      </c>
      <c r="D548" s="28" t="inlineStr">
        <is>
          <t>Tetra Tech Europe</t>
        </is>
      </c>
      <c r="E548" s="28" t="inlineStr">
        <is>
          <t>Brighton, England, United Kingdom</t>
        </is>
      </c>
      <c r="F548" s="28" t="inlineStr">
        <is>
          <t>Not specified</t>
        </is>
      </c>
      <c r="G548" s="28" t="inlineStr">
        <is>
          <t>LinkedIn</t>
        </is>
      </c>
      <c r="H548" s="29" t="inlineStr">
        <is>
          <t>CONFIRMED</t>
        </is>
      </c>
      <c r="I548" s="28" t="n">
        <v>50</v>
      </c>
      <c r="J548" s="30" t="inlineStr">
        <is>
          <t>Apply Here</t>
        </is>
      </c>
      <c r="K548" s="31" t="inlineStr"/>
      <c r="L548" s="31" t="inlineStr"/>
      <c r="M548" s="31" t="inlineStr">
        <is>
          <t>Pending</t>
        </is>
      </c>
      <c r="N548" s="32" t="inlineStr"/>
      <c r="O548" s="31" t="inlineStr"/>
    </row>
    <row r="549" ht="16" customHeight="1">
      <c r="A549" s="33" t="inlineStr">
        <is>
          <t>96d681082328</t>
        </is>
      </c>
      <c r="B549" s="33" t="inlineStr">
        <is>
          <t>05/09/2026</t>
        </is>
      </c>
      <c r="C549" s="33" t="inlineStr">
        <is>
          <t>Hydraulic Project / Design Engineer</t>
        </is>
      </c>
      <c r="D549" s="33" t="inlineStr">
        <is>
          <t>Maritime Developments Limited</t>
        </is>
      </c>
      <c r="E549" s="33" t="inlineStr">
        <is>
          <t>Aberdeen, Scotland, United Kingdom</t>
        </is>
      </c>
      <c r="F549" s="33" t="inlineStr">
        <is>
          <t>Not specified</t>
        </is>
      </c>
      <c r="G549" s="33" t="inlineStr">
        <is>
          <t>LinkedIn</t>
        </is>
      </c>
      <c r="H549" s="29" t="inlineStr">
        <is>
          <t>CONFIRMED</t>
        </is>
      </c>
      <c r="I549" s="33" t="n">
        <v>50</v>
      </c>
      <c r="J549" s="34" t="inlineStr">
        <is>
          <t>Apply Here</t>
        </is>
      </c>
      <c r="K549" s="35" t="inlineStr"/>
      <c r="L549" s="35" t="inlineStr"/>
      <c r="M549" s="35" t="inlineStr">
        <is>
          <t>Pending</t>
        </is>
      </c>
      <c r="N549" s="36" t="inlineStr"/>
      <c r="O549" s="35" t="inlineStr"/>
    </row>
    <row r="550" ht="16" customHeight="1">
      <c r="A550" s="28" t="inlineStr">
        <is>
          <t>812faa0bca71</t>
        </is>
      </c>
      <c r="B550" s="28" t="inlineStr">
        <is>
          <t>05/09/2026</t>
        </is>
      </c>
      <c r="C550" s="28" t="inlineStr">
        <is>
          <t>Water Network Analyst</t>
        </is>
      </c>
      <c r="D550" s="28" t="inlineStr">
        <is>
          <t>NWG (Northumbrian Water Group)</t>
        </is>
      </c>
      <c r="E550" s="28" t="inlineStr">
        <is>
          <t>Chelmsford, England, United Kingdom</t>
        </is>
      </c>
      <c r="F550" s="28" t="inlineStr">
        <is>
          <t>Not specified</t>
        </is>
      </c>
      <c r="G550" s="28" t="inlineStr">
        <is>
          <t>LinkedIn</t>
        </is>
      </c>
      <c r="H550" s="29" t="inlineStr">
        <is>
          <t>CONFIRMED</t>
        </is>
      </c>
      <c r="I550" s="28" t="n">
        <v>50</v>
      </c>
      <c r="J550" s="30" t="inlineStr">
        <is>
          <t>Apply Here</t>
        </is>
      </c>
      <c r="K550" s="31" t="inlineStr"/>
      <c r="L550" s="31" t="inlineStr"/>
      <c r="M550" s="31" t="inlineStr">
        <is>
          <t>Pending</t>
        </is>
      </c>
      <c r="N550" s="32" t="inlineStr"/>
      <c r="O550" s="31" t="inlineStr"/>
    </row>
    <row r="551" ht="16" customHeight="1">
      <c r="A551" s="33" t="inlineStr">
        <is>
          <t>e5b24f5cddea</t>
        </is>
      </c>
      <c r="B551" s="33" t="inlineStr">
        <is>
          <t>05/09/2026</t>
        </is>
      </c>
      <c r="C551" s="33" t="inlineStr">
        <is>
          <t>Water Network Controller</t>
        </is>
      </c>
      <c r="D551" s="33" t="inlineStr">
        <is>
          <t>South Staffs Water</t>
        </is>
      </c>
      <c r="E551" s="33" t="inlineStr">
        <is>
          <t>Cambridge, England, United Kingdom</t>
        </is>
      </c>
      <c r="F551" s="33" t="inlineStr">
        <is>
          <t>Not specified</t>
        </is>
      </c>
      <c r="G551" s="33" t="inlineStr">
        <is>
          <t>LinkedIn</t>
        </is>
      </c>
      <c r="H551" s="29" t="inlineStr">
        <is>
          <t>CONFIRMED</t>
        </is>
      </c>
      <c r="I551" s="33" t="n">
        <v>50</v>
      </c>
      <c r="J551" s="34" t="inlineStr">
        <is>
          <t>Apply Here</t>
        </is>
      </c>
      <c r="K551" s="35" t="inlineStr"/>
      <c r="L551" s="35" t="inlineStr"/>
      <c r="M551" s="35" t="inlineStr">
        <is>
          <t>Pending</t>
        </is>
      </c>
      <c r="N551" s="36" t="inlineStr"/>
      <c r="O551" s="35" t="inlineStr"/>
    </row>
    <row r="552" ht="16" customHeight="1">
      <c r="A552" s="28" t="inlineStr">
        <is>
          <t>807096552ae4</t>
        </is>
      </c>
      <c r="B552" s="28" t="inlineStr">
        <is>
          <t>05/09/2026</t>
        </is>
      </c>
      <c r="C552" s="28" t="inlineStr">
        <is>
          <t>Civil Design Engineer – Water &amp; Infrastructure Projects – 20310</t>
        </is>
      </c>
      <c r="D552" s="28" t="inlineStr">
        <is>
          <t>RR</t>
        </is>
      </c>
      <c r="E552" s="28" t="inlineStr">
        <is>
          <t>Sheffield, England, United Kingdom</t>
        </is>
      </c>
      <c r="F552" s="28" t="inlineStr">
        <is>
          <t>Not specified</t>
        </is>
      </c>
      <c r="G552" s="28" t="inlineStr">
        <is>
          <t>LinkedIn</t>
        </is>
      </c>
      <c r="H552" s="38" t="inlineStr">
        <is>
          <t>UNKNOWN</t>
        </is>
      </c>
      <c r="I552" s="28" t="n">
        <v>50</v>
      </c>
      <c r="J552" s="30" t="inlineStr">
        <is>
          <t>Apply Here</t>
        </is>
      </c>
      <c r="K552" s="31" t="inlineStr"/>
      <c r="L552" s="31" t="inlineStr"/>
      <c r="M552" s="31" t="inlineStr">
        <is>
          <t>Pending</t>
        </is>
      </c>
      <c r="N552" s="32" t="inlineStr"/>
      <c r="O552" s="31" t="inlineStr"/>
    </row>
    <row r="553" ht="16" customHeight="1">
      <c r="A553" s="33" t="inlineStr">
        <is>
          <t>20d61c8370f9</t>
        </is>
      </c>
      <c r="B553" s="33" t="inlineStr">
        <is>
          <t>06/09/2026</t>
        </is>
      </c>
      <c r="C553" s="33" t="inlineStr">
        <is>
          <t>Civil Design Engineer - Water Sector AMP8</t>
        </is>
      </c>
      <c r="D553" s="33" t="inlineStr">
        <is>
          <t>Arcadis</t>
        </is>
      </c>
      <c r="E553" s="33" t="inlineStr">
        <is>
          <t>Plymouth, England, United Kingdom</t>
        </is>
      </c>
      <c r="F553" s="33" t="inlineStr">
        <is>
          <t>Not specified</t>
        </is>
      </c>
      <c r="G553" s="33" t="inlineStr">
        <is>
          <t>LinkedIn</t>
        </is>
      </c>
      <c r="H553" s="29" t="inlineStr">
        <is>
          <t>CONFIRMED</t>
        </is>
      </c>
      <c r="I553" s="33" t="n">
        <v>75</v>
      </c>
      <c r="J553" s="34" t="inlineStr">
        <is>
          <t>Apply Here</t>
        </is>
      </c>
      <c r="K553" s="35" t="inlineStr"/>
      <c r="L553" s="35" t="inlineStr"/>
      <c r="M553" s="35" t="inlineStr">
        <is>
          <t>Pending</t>
        </is>
      </c>
      <c r="N553" s="36" t="inlineStr"/>
      <c r="O553" s="35" t="inlineStr"/>
    </row>
    <row r="554" ht="16" customHeight="1">
      <c r="A554" s="28" t="inlineStr">
        <is>
          <t>70be2541759e</t>
        </is>
      </c>
      <c r="B554" s="28" t="inlineStr">
        <is>
          <t>06/09/2026</t>
        </is>
      </c>
      <c r="C554" s="28" t="inlineStr">
        <is>
          <t>Wastewater Network Modeller</t>
        </is>
      </c>
      <c r="D554" s="28" t="inlineStr">
        <is>
          <t>WSP in the UK &amp; Ireland</t>
        </is>
      </c>
      <c r="E554" s="28" t="inlineStr">
        <is>
          <t>England, United Kingdom</t>
        </is>
      </c>
      <c r="F554" s="28" t="inlineStr">
        <is>
          <t>Not specified</t>
        </is>
      </c>
      <c r="G554" s="28" t="inlineStr">
        <is>
          <t>LinkedIn</t>
        </is>
      </c>
      <c r="H554" s="37" t="inlineStr">
        <is>
          <t>LIKELY</t>
        </is>
      </c>
      <c r="I554" s="28" t="n">
        <v>50</v>
      </c>
      <c r="J554" s="30" t="inlineStr">
        <is>
          <t>Apply Here</t>
        </is>
      </c>
      <c r="K554" s="31" t="inlineStr"/>
      <c r="L554" s="31" t="inlineStr"/>
      <c r="M554" s="31" t="inlineStr">
        <is>
          <t>Pending</t>
        </is>
      </c>
      <c r="N554" s="32" t="inlineStr"/>
      <c r="O554" s="31" t="inlineStr"/>
    </row>
    <row r="555" ht="16" customHeight="1">
      <c r="A555" s="33" t="inlineStr">
        <is>
          <t>55212327de67</t>
        </is>
      </c>
      <c r="B555" s="33" t="inlineStr">
        <is>
          <t>07/09/2026</t>
        </is>
      </c>
      <c r="C555" s="33" t="inlineStr">
        <is>
          <t>Hydraulic Modeller</t>
        </is>
      </c>
      <c r="D555" s="33" t="inlineStr">
        <is>
          <t>Penguin Recruitment</t>
        </is>
      </c>
      <c r="E555" s="33" t="inlineStr">
        <is>
          <t>The City, Central London</t>
        </is>
      </c>
      <c r="F555" s="33" t="inlineStr">
        <is>
          <t>£40,000 – £50,000</t>
        </is>
      </c>
      <c r="G555" s="33" t="inlineStr">
        <is>
          <t>Adzuna UK</t>
        </is>
      </c>
      <c r="H555" s="29" t="inlineStr">
        <is>
          <t>CONFIRMED</t>
        </is>
      </c>
      <c r="I555" s="33" t="n">
        <v>160</v>
      </c>
      <c r="J555" s="34" t="inlineStr">
        <is>
          <t>Apply Here</t>
        </is>
      </c>
      <c r="K555" s="35" t="inlineStr"/>
      <c r="L555" s="35" t="inlineStr"/>
      <c r="M555" s="35" t="inlineStr">
        <is>
          <t>Pending</t>
        </is>
      </c>
      <c r="N555" s="36" t="inlineStr"/>
      <c r="O555" s="35" t="inlineStr"/>
    </row>
    <row r="556" ht="16" customHeight="1">
      <c r="A556" s="28" t="inlineStr">
        <is>
          <t>79f319cd94ae</t>
        </is>
      </c>
      <c r="B556" s="28" t="inlineStr">
        <is>
          <t>08/09/2026</t>
        </is>
      </c>
      <c r="C556" s="28" t="inlineStr">
        <is>
          <t>Hydraulic Modeller</t>
        </is>
      </c>
      <c r="D556" s="28" t="inlineStr">
        <is>
          <t>Penguin Recruitment Ltd</t>
        </is>
      </c>
      <c r="E556" s="28" t="inlineStr">
        <is>
          <t>London, UK</t>
        </is>
      </c>
      <c r="F556" s="28" t="inlineStr">
        <is>
          <t>£43,496 – £43,496</t>
        </is>
      </c>
      <c r="G556" s="28" t="inlineStr">
        <is>
          <t>Adzuna UK</t>
        </is>
      </c>
      <c r="H556" s="29" t="inlineStr">
        <is>
          <t>CONFIRMED</t>
        </is>
      </c>
      <c r="I556" s="28" t="n">
        <v>160</v>
      </c>
      <c r="J556" s="30" t="inlineStr">
        <is>
          <t>Apply Here</t>
        </is>
      </c>
      <c r="K556" s="31" t="inlineStr"/>
      <c r="L556" s="31" t="inlineStr"/>
      <c r="M556" s="31" t="inlineStr">
        <is>
          <t>Pending</t>
        </is>
      </c>
      <c r="N556" s="32" t="inlineStr"/>
      <c r="O556" s="31" t="inlineStr"/>
    </row>
    <row r="557" ht="16" customHeight="1">
      <c r="A557" s="33" t="inlineStr">
        <is>
          <t>2b663d4deedf</t>
        </is>
      </c>
      <c r="B557" s="33" t="inlineStr">
        <is>
          <t>08/09/2026</t>
        </is>
      </c>
      <c r="C557" s="33" t="inlineStr">
        <is>
          <t>Civil Design Engineer - Water &amp; Infrastructure Projects</t>
        </is>
      </c>
      <c r="D557" s="33" t="inlineStr">
        <is>
          <t>CHG Electrical</t>
        </is>
      </c>
      <c r="E557" s="33" t="inlineStr">
        <is>
          <t>Sheffield, England, United Kingdom</t>
        </is>
      </c>
      <c r="F557" s="33" t="inlineStr">
        <is>
          <t>Not specified</t>
        </is>
      </c>
      <c r="G557" s="33" t="inlineStr">
        <is>
          <t>LinkedIn</t>
        </is>
      </c>
      <c r="H557" s="29" t="inlineStr">
        <is>
          <t>CONFIRMED</t>
        </is>
      </c>
      <c r="I557" s="33" t="n">
        <v>50</v>
      </c>
      <c r="J557" s="34" t="inlineStr">
        <is>
          <t>Apply Here</t>
        </is>
      </c>
      <c r="K557" s="35" t="inlineStr"/>
      <c r="L557" s="35" t="inlineStr"/>
      <c r="M557" s="35" t="inlineStr">
        <is>
          <t>Pending</t>
        </is>
      </c>
      <c r="N557" s="36" t="inlineStr"/>
      <c r="O557" s="35" t="inlineStr"/>
    </row>
    <row r="558" ht="16" customHeight="1">
      <c r="A558" s="28" t="inlineStr">
        <is>
          <t>9b85a37955d7</t>
        </is>
      </c>
      <c r="B558" s="28" t="inlineStr">
        <is>
          <t>10/09/2026</t>
        </is>
      </c>
      <c r="C558" s="28" t="inlineStr">
        <is>
          <t>Hydrologist- Flood Risk and Hydraulic Modelling Consultant</t>
        </is>
      </c>
      <c r="D558" s="28" t="inlineStr">
        <is>
          <t>Ramboll</t>
        </is>
      </c>
      <c r="E558" s="28" t="inlineStr">
        <is>
          <t>London, UK</t>
        </is>
      </c>
      <c r="F558" s="28" t="inlineStr">
        <is>
          <t>£43,813 – £43,813</t>
        </is>
      </c>
      <c r="G558" s="28" t="inlineStr">
        <is>
          <t>Adzuna UK</t>
        </is>
      </c>
      <c r="H558" s="29" t="inlineStr">
        <is>
          <t>CONFIRMED</t>
        </is>
      </c>
      <c r="I558" s="28" t="n">
        <v>110</v>
      </c>
      <c r="J558" s="30" t="inlineStr">
        <is>
          <t>Apply Here</t>
        </is>
      </c>
      <c r="K558" s="31" t="inlineStr"/>
      <c r="L558" s="31" t="inlineStr"/>
      <c r="M558" s="31" t="inlineStr">
        <is>
          <t>Pending</t>
        </is>
      </c>
      <c r="N558" s="32" t="inlineStr"/>
      <c r="O558" s="31" t="inlineStr"/>
    </row>
    <row r="559" ht="16" customHeight="1">
      <c r="A559" s="33" t="inlineStr">
        <is>
          <t>7d25d84d0c39</t>
        </is>
      </c>
      <c r="B559" s="33" t="inlineStr">
        <is>
          <t>13/09/2026</t>
        </is>
      </c>
      <c r="C559" s="33" t="inlineStr">
        <is>
          <t>Wastewater (Hydraulic) Modeller</t>
        </is>
      </c>
      <c r="D559" s="33" t="inlineStr">
        <is>
          <t>Tetra Tech Europe</t>
        </is>
      </c>
      <c r="E559" s="33" t="inlineStr">
        <is>
          <t>Newcastle Upon Tyne, England, United Kingdom</t>
        </is>
      </c>
      <c r="F559" s="33" t="inlineStr">
        <is>
          <t>Not specified</t>
        </is>
      </c>
      <c r="G559" s="33" t="inlineStr">
        <is>
          <t>LinkedIn</t>
        </is>
      </c>
      <c r="H559" s="29" t="inlineStr">
        <is>
          <t>CONFIRMED</t>
        </is>
      </c>
      <c r="I559" s="33" t="n">
        <v>50</v>
      </c>
      <c r="J559" s="34" t="inlineStr">
        <is>
          <t>Apply Here</t>
        </is>
      </c>
      <c r="K559" s="35" t="inlineStr"/>
      <c r="L559" s="35" t="inlineStr"/>
      <c r="M559" s="35" t="inlineStr">
        <is>
          <t>Pending</t>
        </is>
      </c>
      <c r="N559" s="36" t="inlineStr"/>
      <c r="O559" s="35" t="inlineStr"/>
    </row>
    <row r="560" ht="16" customHeight="1">
      <c r="A560" s="28" t="inlineStr">
        <is>
          <t>95d8bc905a17</t>
        </is>
      </c>
      <c r="B560" s="28" t="inlineStr">
        <is>
          <t>17/09/2026</t>
        </is>
      </c>
      <c r="C560" s="28" t="inlineStr">
        <is>
          <t>Senior/ Civil Engineer (Water Infrastructure)</t>
        </is>
      </c>
      <c r="D560" s="28" t="inlineStr">
        <is>
          <t>Sweco</t>
        </is>
      </c>
      <c r="E560" s="28" t="inlineStr">
        <is>
          <t>Edinburgh, Scotland, United Kingdom</t>
        </is>
      </c>
      <c r="F560" s="28" t="inlineStr">
        <is>
          <t>Not specified</t>
        </is>
      </c>
      <c r="G560" s="28" t="inlineStr">
        <is>
          <t>LinkedIn</t>
        </is>
      </c>
      <c r="H560" s="29" t="inlineStr">
        <is>
          <t>CONFIRMED</t>
        </is>
      </c>
      <c r="I560" s="28" t="n">
        <v>65</v>
      </c>
      <c r="J560" s="30" t="inlineStr">
        <is>
          <t>Apply Here</t>
        </is>
      </c>
      <c r="K560" s="31" t="inlineStr"/>
      <c r="L560" s="31" t="inlineStr"/>
      <c r="M560" s="31" t="inlineStr">
        <is>
          <t>Pending</t>
        </is>
      </c>
      <c r="N560" s="32" t="inlineStr"/>
      <c r="O560" s="31" t="inlineStr"/>
    </row>
    <row r="561" ht="16" customHeight="1">
      <c r="A561" s="33" t="inlineStr">
        <is>
          <t>3e8d51197793</t>
        </is>
      </c>
      <c r="B561" s="33" t="inlineStr">
        <is>
          <t>17/09/2026</t>
        </is>
      </c>
      <c r="C561" s="33" t="inlineStr">
        <is>
          <t>Civil Design Engineer - Water &amp; Infrastructure Projects</t>
        </is>
      </c>
      <c r="D561" s="33" t="inlineStr">
        <is>
          <t>CHG Electrical</t>
        </is>
      </c>
      <c r="E561" s="33" t="inlineStr">
        <is>
          <t>Sheffield, England, United Kingdom</t>
        </is>
      </c>
      <c r="F561" s="33" t="inlineStr">
        <is>
          <t>Not specified</t>
        </is>
      </c>
      <c r="G561" s="33" t="inlineStr">
        <is>
          <t>LinkedIn</t>
        </is>
      </c>
      <c r="H561" s="29" t="inlineStr">
        <is>
          <t>CONFIRMED</t>
        </is>
      </c>
      <c r="I561" s="33" t="n">
        <v>50</v>
      </c>
      <c r="J561" s="34" t="inlineStr">
        <is>
          <t>Apply Here</t>
        </is>
      </c>
      <c r="K561" s="35" t="inlineStr"/>
      <c r="L561" s="35" t="inlineStr"/>
      <c r="M561" s="35" t="inlineStr">
        <is>
          <t>Pending</t>
        </is>
      </c>
      <c r="N561" s="36" t="inlineStr"/>
      <c r="O561" s="35" t="inlineStr"/>
    </row>
    <row r="562" ht="16" customHeight="1">
      <c r="A562" s="28" t="inlineStr">
        <is>
          <t>0ba3d06a8d55</t>
        </is>
      </c>
      <c r="B562" s="28" t="inlineStr">
        <is>
          <t>18/09/2026</t>
        </is>
      </c>
      <c r="C562" s="28" t="inlineStr">
        <is>
          <t>Civil Design Engineer - Water &amp; Infrastructure Projects</t>
        </is>
      </c>
      <c r="D562" s="28" t="inlineStr">
        <is>
          <t>CHG Electrical</t>
        </is>
      </c>
      <c r="E562" s="28" t="inlineStr">
        <is>
          <t>Rotherham, England, United Kingdom</t>
        </is>
      </c>
      <c r="F562" s="28" t="inlineStr">
        <is>
          <t>Not specified</t>
        </is>
      </c>
      <c r="G562" s="28" t="inlineStr">
        <is>
          <t>LinkedIn</t>
        </is>
      </c>
      <c r="H562" s="29" t="inlineStr">
        <is>
          <t>CONFIRMED</t>
        </is>
      </c>
      <c r="I562" s="28" t="n">
        <v>50</v>
      </c>
      <c r="J562" s="30" t="inlineStr">
        <is>
          <t>Apply Here</t>
        </is>
      </c>
      <c r="K562" s="31" t="inlineStr"/>
      <c r="L562" s="31" t="inlineStr"/>
      <c r="M562" s="31" t="inlineStr">
        <is>
          <t>Pending</t>
        </is>
      </c>
      <c r="N562" s="32" t="inlineStr"/>
      <c r="O562" s="31" t="inlineStr"/>
    </row>
    <row r="563" ht="16" customHeight="1">
      <c r="A563" s="33" t="inlineStr">
        <is>
          <t>3afffc56b8d2</t>
        </is>
      </c>
      <c r="B563" s="33" t="inlineStr">
        <is>
          <t>19/09/2026</t>
        </is>
      </c>
      <c r="C563" s="33" t="inlineStr">
        <is>
          <t>Civil Designer - Water</t>
        </is>
      </c>
      <c r="D563" s="33" t="inlineStr">
        <is>
          <t>Jacobs</t>
        </is>
      </c>
      <c r="E563" s="33" t="inlineStr">
        <is>
          <t>Reading, England, United Kingdom</t>
        </is>
      </c>
      <c r="F563" s="33" t="inlineStr">
        <is>
          <t>Not specified</t>
        </is>
      </c>
      <c r="G563" s="33" t="inlineStr">
        <is>
          <t>LinkedIn</t>
        </is>
      </c>
      <c r="H563" s="29" t="inlineStr">
        <is>
          <t>CONFIRMED</t>
        </is>
      </c>
      <c r="I563" s="33" t="n">
        <v>50</v>
      </c>
      <c r="J563" s="34" t="inlineStr">
        <is>
          <t>Apply Here</t>
        </is>
      </c>
      <c r="K563" s="35" t="inlineStr"/>
      <c r="L563" s="35" t="inlineStr"/>
      <c r="M563" s="35" t="inlineStr">
        <is>
          <t>Pending</t>
        </is>
      </c>
      <c r="N563" s="36" t="inlineStr"/>
      <c r="O563" s="35" t="inlineStr"/>
    </row>
    <row r="564" ht="16" customHeight="1">
      <c r="A564" s="28" t="inlineStr">
        <is>
          <t>f72e2cb8c8f2</t>
        </is>
      </c>
      <c r="B564" s="28" t="inlineStr">
        <is>
          <t>20/09/2026</t>
        </is>
      </c>
      <c r="C564" s="28" t="inlineStr">
        <is>
          <t>Clean Water (Hydraulic) Modeller</t>
        </is>
      </c>
      <c r="D564" s="28" t="inlineStr">
        <is>
          <t>Tetra Tech Europe</t>
        </is>
      </c>
      <c r="E564" s="28" t="inlineStr">
        <is>
          <t>Edinburgh, Scotland, United Kingdom</t>
        </is>
      </c>
      <c r="F564" s="28" t="inlineStr">
        <is>
          <t>Not specified</t>
        </is>
      </c>
      <c r="G564" s="28" t="inlineStr">
        <is>
          <t>LinkedIn</t>
        </is>
      </c>
      <c r="H564" s="29" t="inlineStr">
        <is>
          <t>CONFIRMED</t>
        </is>
      </c>
      <c r="I564" s="28" t="n">
        <v>65</v>
      </c>
      <c r="J564" s="30" t="inlineStr">
        <is>
          <t>Apply Here</t>
        </is>
      </c>
      <c r="K564" s="31" t="inlineStr"/>
      <c r="L564" s="31" t="inlineStr"/>
      <c r="M564" s="31" t="inlineStr">
        <is>
          <t>Pending</t>
        </is>
      </c>
      <c r="N564" s="32" t="inlineStr"/>
      <c r="O564" s="31" t="inlineStr"/>
    </row>
    <row r="565" ht="16" customHeight="1">
      <c r="A565" s="33" t="inlineStr">
        <is>
          <t>a7547f28e3ab</t>
        </is>
      </c>
      <c r="B565" s="33" t="inlineStr">
        <is>
          <t>20/09/2026</t>
        </is>
      </c>
      <c r="C565" s="33" t="inlineStr">
        <is>
          <t>Expression of Interest - Design Manager - Water Sector</t>
        </is>
      </c>
      <c r="D565" s="33" t="inlineStr">
        <is>
          <t>Stantec</t>
        </is>
      </c>
      <c r="E565" s="33" t="inlineStr">
        <is>
          <t>London, England, United Kingdom</t>
        </is>
      </c>
      <c r="F565" s="33" t="inlineStr">
        <is>
          <t>Not specified</t>
        </is>
      </c>
      <c r="G565" s="33" t="inlineStr">
        <is>
          <t>LinkedIn</t>
        </is>
      </c>
      <c r="H565" s="29" t="inlineStr">
        <is>
          <t>CONFIRMED</t>
        </is>
      </c>
      <c r="I565" s="33" t="n">
        <v>50</v>
      </c>
      <c r="J565" s="34" t="inlineStr">
        <is>
          <t>Apply Here</t>
        </is>
      </c>
      <c r="K565" s="35" t="inlineStr"/>
      <c r="L565" s="35" t="inlineStr"/>
      <c r="M565" s="35" t="inlineStr">
        <is>
          <t>Pending</t>
        </is>
      </c>
      <c r="N565" s="36" t="inlineStr"/>
      <c r="O565" s="35" t="inlineStr"/>
    </row>
    <row r="566" ht="16" customHeight="1">
      <c r="A566" s="28" t="inlineStr">
        <is>
          <t>2f9d7ede476f</t>
        </is>
      </c>
      <c r="B566" s="28" t="inlineStr">
        <is>
          <t>20/09/2026</t>
        </is>
      </c>
      <c r="C566" s="28" t="inlineStr">
        <is>
          <t>Design Manager - Water Sector</t>
        </is>
      </c>
      <c r="D566" s="28" t="inlineStr">
        <is>
          <t>Stantec</t>
        </is>
      </c>
      <c r="E566" s="28" t="inlineStr">
        <is>
          <t>London, England, United Kingdom</t>
        </is>
      </c>
      <c r="F566" s="28" t="inlineStr">
        <is>
          <t>Not specified</t>
        </is>
      </c>
      <c r="G566" s="28" t="inlineStr">
        <is>
          <t>LinkedIn</t>
        </is>
      </c>
      <c r="H566" s="29" t="inlineStr">
        <is>
          <t>CONFIRMED</t>
        </is>
      </c>
      <c r="I566" s="28" t="n">
        <v>50</v>
      </c>
      <c r="J566" s="30" t="inlineStr">
        <is>
          <t>Apply Here</t>
        </is>
      </c>
      <c r="K566" s="31" t="inlineStr"/>
      <c r="L566" s="31" t="inlineStr"/>
      <c r="M566" s="31" t="inlineStr">
        <is>
          <t>Pending</t>
        </is>
      </c>
      <c r="N566" s="32" t="inlineStr"/>
      <c r="O566" s="31" t="inlineStr"/>
    </row>
    <row r="567" ht="16" customHeight="1">
      <c r="A567" s="33" t="inlineStr">
        <is>
          <t>8938595e08b1</t>
        </is>
      </c>
      <c r="B567" s="33" t="inlineStr">
        <is>
          <t>23/09/2026</t>
        </is>
      </c>
      <c r="C567" s="33" t="inlineStr">
        <is>
          <t>Civil Designer - Water (Design &amp; Build)</t>
        </is>
      </c>
      <c r="D567" s="33" t="inlineStr">
        <is>
          <t>Jacobs</t>
        </is>
      </c>
      <c r="E567" s="33" t="inlineStr">
        <is>
          <t>Reading, Berkshire</t>
        </is>
      </c>
      <c r="F567" s="33" t="inlineStr">
        <is>
          <t>£48,192 – £48,192</t>
        </is>
      </c>
      <c r="G567" s="33" t="inlineStr">
        <is>
          <t>Adzuna UK</t>
        </is>
      </c>
      <c r="H567" s="29" t="inlineStr">
        <is>
          <t>CONFIRMED</t>
        </is>
      </c>
      <c r="I567" s="33" t="n">
        <v>70</v>
      </c>
      <c r="J567" s="34" t="inlineStr">
        <is>
          <t>Apply Here</t>
        </is>
      </c>
      <c r="K567" s="35" t="inlineStr"/>
      <c r="L567" s="35" t="inlineStr"/>
      <c r="M567" s="35" t="inlineStr">
        <is>
          <t>Pending</t>
        </is>
      </c>
      <c r="N567" s="36" t="inlineStr"/>
      <c r="O567" s="35" t="inlineStr"/>
    </row>
    <row r="568" ht="16" customHeight="1">
      <c r="A568" s="28" t="inlineStr">
        <is>
          <t>5d6c10a9e7ce</t>
        </is>
      </c>
      <c r="B568" s="28" t="inlineStr">
        <is>
          <t>23/09/2026</t>
        </is>
      </c>
      <c r="C568" s="28" t="inlineStr">
        <is>
          <t>Civil Design Engineer – Water &amp; Infrastructure Projects – 20324</t>
        </is>
      </c>
      <c r="D568" s="28" t="inlineStr">
        <is>
          <t>RR</t>
        </is>
      </c>
      <c r="E568" s="28" t="inlineStr">
        <is>
          <t>Barnsley, England, United Kingdom</t>
        </is>
      </c>
      <c r="F568" s="28" t="inlineStr">
        <is>
          <t>Not specified</t>
        </is>
      </c>
      <c r="G568" s="28" t="inlineStr">
        <is>
          <t>LinkedIn</t>
        </is>
      </c>
      <c r="H568" s="38" t="inlineStr">
        <is>
          <t>UNKNOWN</t>
        </is>
      </c>
      <c r="I568" s="28" t="n">
        <v>50</v>
      </c>
      <c r="J568" s="30" t="inlineStr">
        <is>
          <t>Apply Here</t>
        </is>
      </c>
      <c r="K568" s="31" t="inlineStr"/>
      <c r="L568" s="31" t="inlineStr"/>
      <c r="M568" s="31" t="inlineStr">
        <is>
          <t>Pending</t>
        </is>
      </c>
      <c r="N568" s="32" t="inlineStr"/>
      <c r="O568" s="31" t="inlineStr"/>
    </row>
    <row r="569" ht="16" customHeight="1">
      <c r="A569" s="33" t="inlineStr">
        <is>
          <t>7ad2f144267e</t>
        </is>
      </c>
      <c r="B569" s="33" t="inlineStr">
        <is>
          <t>24/09/2026</t>
        </is>
      </c>
      <c r="C569" s="33" t="inlineStr">
        <is>
          <t>Wastewater Network Modeller</t>
        </is>
      </c>
      <c r="D569" s="33" t="inlineStr">
        <is>
          <t>Mott MacDonald</t>
        </is>
      </c>
      <c r="E569" s="33" t="inlineStr">
        <is>
          <t>Edinburgh, Scotland, United Kingdom</t>
        </is>
      </c>
      <c r="F569" s="33" t="inlineStr">
        <is>
          <t>Not specified</t>
        </is>
      </c>
      <c r="G569" s="33" t="inlineStr">
        <is>
          <t>LinkedIn</t>
        </is>
      </c>
      <c r="H569" s="29" t="inlineStr">
        <is>
          <t>CONFIRMED</t>
        </is>
      </c>
      <c r="I569" s="33" t="n">
        <v>50</v>
      </c>
      <c r="J569" s="34" t="inlineStr">
        <is>
          <t>Apply Here</t>
        </is>
      </c>
      <c r="K569" s="35" t="inlineStr"/>
      <c r="L569" s="35" t="inlineStr"/>
      <c r="M569" s="35" t="inlineStr">
        <is>
          <t>Pending</t>
        </is>
      </c>
      <c r="N569" s="36" t="inlineStr"/>
      <c r="O569" s="35" t="inlineStr"/>
    </row>
    <row r="570" ht="16" customHeight="1">
      <c r="A570" s="28" t="inlineStr">
        <is>
          <t>6426b26b3403</t>
        </is>
      </c>
      <c r="B570" s="28" t="inlineStr">
        <is>
          <t>25/09/2026</t>
        </is>
      </c>
      <c r="C570" s="28" t="inlineStr">
        <is>
          <t>Civil Designer - Water (Design &amp; Build)</t>
        </is>
      </c>
      <c r="D570" s="28" t="inlineStr">
        <is>
          <t>Jacobs</t>
        </is>
      </c>
      <c r="E570" s="28" t="inlineStr">
        <is>
          <t>London, UK</t>
        </is>
      </c>
      <c r="F570" s="28" t="inlineStr">
        <is>
          <t>£49,307 – £49,307</t>
        </is>
      </c>
      <c r="G570" s="28" t="inlineStr">
        <is>
          <t>Adzuna UK</t>
        </is>
      </c>
      <c r="H570" s="29" t="inlineStr">
        <is>
          <t>CONFIRMED</t>
        </is>
      </c>
      <c r="I570" s="28" t="n">
        <v>70</v>
      </c>
      <c r="J570" s="30" t="inlineStr">
        <is>
          <t>Apply Here</t>
        </is>
      </c>
      <c r="K570" s="31" t="inlineStr"/>
      <c r="L570" s="31" t="inlineStr"/>
      <c r="M570" s="31" t="inlineStr">
        <is>
          <t>Pending</t>
        </is>
      </c>
      <c r="N570" s="32" t="inlineStr"/>
      <c r="O570" s="31" t="inlineStr"/>
    </row>
    <row r="571" ht="16" customHeight="1">
      <c r="A571" s="33" t="inlineStr">
        <is>
          <t>cbdf9f965fdd</t>
        </is>
      </c>
      <c r="B571" s="33" t="inlineStr">
        <is>
          <t>26/09/2026</t>
        </is>
      </c>
      <c r="C571" s="33" t="inlineStr">
        <is>
          <t>Wastewater Network Modeller</t>
        </is>
      </c>
      <c r="D571" s="33" t="inlineStr">
        <is>
          <t>Mott MacDonald</t>
        </is>
      </c>
      <c r="E571" s="33" t="inlineStr">
        <is>
          <t>Leeds, England, United Kingdom</t>
        </is>
      </c>
      <c r="F571" s="33" t="inlineStr">
        <is>
          <t>Not specified</t>
        </is>
      </c>
      <c r="G571" s="33" t="inlineStr">
        <is>
          <t>LinkedIn</t>
        </is>
      </c>
      <c r="H571" s="29" t="inlineStr">
        <is>
          <t>CONFIRMED</t>
        </is>
      </c>
      <c r="I571" s="33" t="n">
        <v>50</v>
      </c>
      <c r="J571" s="34" t="inlineStr">
        <is>
          <t>Apply Here</t>
        </is>
      </c>
      <c r="K571" s="35" t="inlineStr"/>
      <c r="L571" s="35" t="inlineStr"/>
      <c r="M571" s="35" t="inlineStr">
        <is>
          <t>Pending</t>
        </is>
      </c>
      <c r="N571" s="36" t="inlineStr"/>
      <c r="O571" s="35" t="inlineStr"/>
    </row>
    <row r="572" ht="16" customHeight="1">
      <c r="A572" s="28" t="inlineStr">
        <is>
          <t>751da83c012f</t>
        </is>
      </c>
      <c r="B572" s="28" t="inlineStr">
        <is>
          <t>27/09/2026</t>
        </is>
      </c>
      <c r="C572" s="28" t="inlineStr">
        <is>
          <t>Hydraulic Design Engineer (Projects / Deck Equipment)</t>
        </is>
      </c>
      <c r="D572" s="28" t="inlineStr">
        <is>
          <t>Ernest Gordon Recruitment</t>
        </is>
      </c>
      <c r="E572" s="28" t="inlineStr">
        <is>
          <t>Aberdeen, Scotland, United Kingdom</t>
        </is>
      </c>
      <c r="F572" s="28" t="inlineStr">
        <is>
          <t>Not specified</t>
        </is>
      </c>
      <c r="G572" s="28" t="inlineStr">
        <is>
          <t>LinkedIn</t>
        </is>
      </c>
      <c r="H572" s="29" t="inlineStr">
        <is>
          <t>CONFIRMED</t>
        </is>
      </c>
      <c r="I572" s="28" t="n">
        <v>90</v>
      </c>
      <c r="J572" s="30" t="inlineStr">
        <is>
          <t>Apply Here</t>
        </is>
      </c>
      <c r="K572" s="31" t="inlineStr"/>
      <c r="L572" s="31" t="inlineStr"/>
      <c r="M572" s="31" t="inlineStr">
        <is>
          <t>Pending</t>
        </is>
      </c>
      <c r="N572" s="32" t="inlineStr"/>
      <c r="O572" s="31" t="inlineStr"/>
    </row>
    <row r="573" ht="16" customHeight="1">
      <c r="A573" s="33" t="inlineStr">
        <is>
          <t>0fc6fff59ac2</t>
        </is>
      </c>
      <c r="B573" s="33" t="inlineStr">
        <is>
          <t>29/09/2026</t>
        </is>
      </c>
      <c r="C573" s="33" t="inlineStr">
        <is>
          <t>Hydraulic Design Engineer (Projects / Deck Equipment)</t>
        </is>
      </c>
      <c r="D573" s="33" t="inlineStr">
        <is>
          <t>Ernest Gordon Recruitment</t>
        </is>
      </c>
      <c r="E573" s="33" t="inlineStr">
        <is>
          <t>Aberdeen, Scotland, United Kingdom</t>
        </is>
      </c>
      <c r="F573" s="33" t="inlineStr">
        <is>
          <t>Not specified</t>
        </is>
      </c>
      <c r="G573" s="33" t="inlineStr">
        <is>
          <t>LinkedIn</t>
        </is>
      </c>
      <c r="H573" s="29" t="inlineStr">
        <is>
          <t>CONFIRMED</t>
        </is>
      </c>
      <c r="I573" s="33" t="n">
        <v>90</v>
      </c>
      <c r="J573" s="34" t="inlineStr">
        <is>
          <t>Apply Here</t>
        </is>
      </c>
      <c r="K573" s="35" t="inlineStr"/>
      <c r="L573" s="35" t="inlineStr"/>
      <c r="M573" s="35" t="inlineStr">
        <is>
          <t>Pending</t>
        </is>
      </c>
      <c r="N573" s="36" t="inlineStr"/>
      <c r="O573" s="35" t="inlineStr"/>
    </row>
    <row r="574" ht="16" customHeight="1">
      <c r="A574" s="28" t="inlineStr">
        <is>
          <t>a07023a53071</t>
        </is>
      </c>
      <c r="B574" s="28" t="inlineStr">
        <is>
          <t>29/09/2026</t>
        </is>
      </c>
      <c r="C574" s="28" t="inlineStr">
        <is>
          <t>Civil Design Engineer - Water Sector AMP8</t>
        </is>
      </c>
      <c r="D574" s="28" t="inlineStr">
        <is>
          <t>Arcadis</t>
        </is>
      </c>
      <c r="E574" s="28" t="inlineStr">
        <is>
          <t>Exeter, England, United Kingdom</t>
        </is>
      </c>
      <c r="F574" s="28" t="inlineStr">
        <is>
          <t>Not specified</t>
        </is>
      </c>
      <c r="G574" s="28" t="inlineStr">
        <is>
          <t>LinkedIn</t>
        </is>
      </c>
      <c r="H574" s="29" t="inlineStr">
        <is>
          <t>CONFIRMED</t>
        </is>
      </c>
      <c r="I574" s="28" t="n">
        <v>75</v>
      </c>
      <c r="J574" s="30" t="inlineStr">
        <is>
          <t>Apply Here</t>
        </is>
      </c>
      <c r="K574" s="31" t="inlineStr"/>
      <c r="L574" s="31" t="inlineStr"/>
      <c r="M574" s="31" t="inlineStr">
        <is>
          <t>Pending</t>
        </is>
      </c>
      <c r="N574" s="32" t="inlineStr"/>
      <c r="O574" s="31" t="inlineStr"/>
    </row>
    <row r="575" ht="16" customHeight="1">
      <c r="A575" s="33" t="inlineStr">
        <is>
          <t>b93d7af2225c</t>
        </is>
      </c>
      <c r="B575" s="33" t="inlineStr">
        <is>
          <t>03/10/2026</t>
        </is>
      </c>
      <c r="C575" s="33" t="inlineStr">
        <is>
          <t>Clean Water Network Engineer</t>
        </is>
      </c>
      <c r="D575" s="33" t="inlineStr">
        <is>
          <t>Celnor Group</t>
        </is>
      </c>
      <c r="E575" s="33" t="inlineStr">
        <is>
          <t>West Malling, England, United Kingdom</t>
        </is>
      </c>
      <c r="F575" s="33" t="inlineStr">
        <is>
          <t>Not specified</t>
        </is>
      </c>
      <c r="G575" s="33" t="inlineStr">
        <is>
          <t>LinkedIn</t>
        </is>
      </c>
      <c r="H575" s="29" t="inlineStr">
        <is>
          <t>CONFIRMED</t>
        </is>
      </c>
      <c r="I575" s="33" t="n">
        <v>105</v>
      </c>
      <c r="J575" s="34" t="inlineStr">
        <is>
          <t>Apply Here</t>
        </is>
      </c>
      <c r="K575" s="35" t="inlineStr"/>
      <c r="L575" s="35" t="inlineStr"/>
      <c r="M575" s="35" t="inlineStr">
        <is>
          <t>Pending</t>
        </is>
      </c>
      <c r="N575" s="36" t="inlineStr"/>
      <c r="O575" s="35" t="inlineStr"/>
    </row>
    <row r="576" ht="16" customHeight="1">
      <c r="A576" s="28" t="inlineStr">
        <is>
          <t>d71be2956d69</t>
        </is>
      </c>
      <c r="B576" s="28" t="inlineStr">
        <is>
          <t>03/10/2026</t>
        </is>
      </c>
      <c r="C576" s="28" t="inlineStr">
        <is>
          <t>Water Network Analyst</t>
        </is>
      </c>
      <c r="D576" s="28" t="inlineStr">
        <is>
          <t>NWG (Northumbrian Water Group)</t>
        </is>
      </c>
      <c r="E576" s="28" t="inlineStr">
        <is>
          <t>Washington, England, United Kingdom</t>
        </is>
      </c>
      <c r="F576" s="28" t="inlineStr">
        <is>
          <t>Not specified</t>
        </is>
      </c>
      <c r="G576" s="28" t="inlineStr">
        <is>
          <t>LinkedIn</t>
        </is>
      </c>
      <c r="H576" s="29" t="inlineStr">
        <is>
          <t>CONFIRMED</t>
        </is>
      </c>
      <c r="I576" s="28" t="n">
        <v>50</v>
      </c>
      <c r="J576" s="30" t="inlineStr">
        <is>
          <t>Apply Here</t>
        </is>
      </c>
      <c r="K576" s="31" t="inlineStr"/>
      <c r="L576" s="31" t="inlineStr"/>
      <c r="M576" s="31" t="inlineStr">
        <is>
          <t>Pending</t>
        </is>
      </c>
      <c r="N576" s="32" t="inlineStr"/>
      <c r="O576" s="31" t="inlineStr"/>
    </row>
    <row r="577" ht="16" customHeight="1">
      <c r="A577" s="33" t="inlineStr">
        <is>
          <t>5dd252d786c1</t>
        </is>
      </c>
      <c r="B577" s="33" t="inlineStr">
        <is>
          <t>05/10/2026</t>
        </is>
      </c>
      <c r="C577" s="33" t="inlineStr">
        <is>
          <t>Wastewater Hydraulic Modeller -  Modeller to Associate</t>
        </is>
      </c>
      <c r="D577" s="33" t="inlineStr">
        <is>
          <t>Talent Link</t>
        </is>
      </c>
      <c r="E577" s="33" t="inlineStr">
        <is>
          <t>Greater London, England, United Kingdom</t>
        </is>
      </c>
      <c r="F577" s="33" t="inlineStr">
        <is>
          <t>Not specified</t>
        </is>
      </c>
      <c r="G577" s="33" t="inlineStr">
        <is>
          <t>LinkedIn</t>
        </is>
      </c>
      <c r="H577" s="29" t="inlineStr">
        <is>
          <t>CONFIRMED</t>
        </is>
      </c>
      <c r="I577" s="33" t="n">
        <v>90</v>
      </c>
      <c r="J577" s="34" t="inlineStr">
        <is>
          <t>Apply Here</t>
        </is>
      </c>
      <c r="K577" s="35" t="inlineStr"/>
      <c r="L577" s="35" t="inlineStr"/>
      <c r="M577" s="35" t="inlineStr">
        <is>
          <t>Pending</t>
        </is>
      </c>
      <c r="N577" s="36" t="inlineStr"/>
      <c r="O577" s="35" t="inlineStr"/>
    </row>
    <row r="578" ht="16" customHeight="1">
      <c r="A578" s="28" t="inlineStr">
        <is>
          <t>7a80eec850a6</t>
        </is>
      </c>
      <c r="B578" s="28" t="inlineStr">
        <is>
          <t>05/10/2026</t>
        </is>
      </c>
      <c r="C578" s="28" t="inlineStr">
        <is>
          <t>Civil Designer - Water (Design &amp; Build)</t>
        </is>
      </c>
      <c r="D578" s="28" t="inlineStr">
        <is>
          <t>Jacobs</t>
        </is>
      </c>
      <c r="E578" s="28" t="inlineStr">
        <is>
          <t>Reading, Berkshire</t>
        </is>
      </c>
      <c r="F578" s="28" t="inlineStr">
        <is>
          <t>£48,192 – £48,192</t>
        </is>
      </c>
      <c r="G578" s="28" t="inlineStr">
        <is>
          <t>Adzuna UK</t>
        </is>
      </c>
      <c r="H578" s="29" t="inlineStr">
        <is>
          <t>CONFIRMED</t>
        </is>
      </c>
      <c r="I578" s="28" t="n">
        <v>70</v>
      </c>
      <c r="J578" s="30" t="inlineStr">
        <is>
          <t>Apply Here</t>
        </is>
      </c>
      <c r="K578" s="31" t="inlineStr"/>
      <c r="L578" s="31" t="inlineStr"/>
      <c r="M578" s="31" t="inlineStr">
        <is>
          <t>Pending</t>
        </is>
      </c>
      <c r="N578" s="32" t="inlineStr"/>
      <c r="O578" s="31" t="inlineStr"/>
    </row>
    <row r="579" ht="16" customHeight="1">
      <c r="A579" s="33" t="inlineStr">
        <is>
          <t>245a325b8ce6</t>
        </is>
      </c>
      <c r="B579" s="33" t="inlineStr">
        <is>
          <t>05/10/2026</t>
        </is>
      </c>
      <c r="C579" s="33" t="inlineStr">
        <is>
          <t>Civil Designer - Water (Design &amp; Build)</t>
        </is>
      </c>
      <c r="D579" s="33" t="inlineStr">
        <is>
          <t>Jacobs</t>
        </is>
      </c>
      <c r="E579" s="33" t="inlineStr">
        <is>
          <t>London, UK</t>
        </is>
      </c>
      <c r="F579" s="33" t="inlineStr">
        <is>
          <t>£49,307 – £49,307</t>
        </is>
      </c>
      <c r="G579" s="33" t="inlineStr">
        <is>
          <t>Adzuna UK</t>
        </is>
      </c>
      <c r="H579" s="29" t="inlineStr">
        <is>
          <t>CONFIRMED</t>
        </is>
      </c>
      <c r="I579" s="33" t="n">
        <v>70</v>
      </c>
      <c r="J579" s="34" t="inlineStr">
        <is>
          <t>Apply Here</t>
        </is>
      </c>
      <c r="K579" s="35" t="inlineStr"/>
      <c r="L579" s="35" t="inlineStr"/>
      <c r="M579" s="35" t="inlineStr">
        <is>
          <t>Pending</t>
        </is>
      </c>
      <c r="N579" s="36" t="inlineStr"/>
      <c r="O579" s="35" t="inlineStr"/>
    </row>
    <row r="580" ht="16" customHeight="1">
      <c r="A580" s="28" t="inlineStr">
        <is>
          <t>e92adf6cc855</t>
        </is>
      </c>
      <c r="B580" s="28" t="inlineStr">
        <is>
          <t>06/10/2026</t>
        </is>
      </c>
      <c r="C580" s="28" t="inlineStr">
        <is>
          <t>Civil Designer - Water (Design &amp; Build)</t>
        </is>
      </c>
      <c r="D580" s="28" t="inlineStr">
        <is>
          <t>Jacobs</t>
        </is>
      </c>
      <c r="E580" s="28" t="inlineStr">
        <is>
          <t>London, England, United Kingdom</t>
        </is>
      </c>
      <c r="F580" s="28" t="inlineStr">
        <is>
          <t>Not specified</t>
        </is>
      </c>
      <c r="G580" s="28" t="inlineStr">
        <is>
          <t>LinkedIn</t>
        </is>
      </c>
      <c r="H580" s="29" t="inlineStr">
        <is>
          <t>CONFIRMED</t>
        </is>
      </c>
      <c r="I580" s="28" t="n">
        <v>50</v>
      </c>
      <c r="J580" s="30" t="inlineStr">
        <is>
          <t>Apply Here</t>
        </is>
      </c>
      <c r="K580" s="31" t="inlineStr"/>
      <c r="L580" s="31" t="inlineStr"/>
      <c r="M580" s="31" t="inlineStr">
        <is>
          <t>Pending</t>
        </is>
      </c>
      <c r="N580" s="32" t="inlineStr"/>
      <c r="O580" s="31" t="inlineStr"/>
    </row>
    <row r="581" ht="16" customHeight="1">
      <c r="A581" s="33" t="inlineStr">
        <is>
          <t>71f7b0a4cf0b</t>
        </is>
      </c>
      <c r="B581" s="33" t="inlineStr">
        <is>
          <t>08/10/2026</t>
        </is>
      </c>
      <c r="C581" s="33" t="inlineStr">
        <is>
          <t>Civil Designer - Water (Design &amp; Build)</t>
        </is>
      </c>
      <c r="D581" s="33" t="inlineStr">
        <is>
          <t>Jacobs</t>
        </is>
      </c>
      <c r="E581" s="33" t="inlineStr">
        <is>
          <t>London, UK</t>
        </is>
      </c>
      <c r="F581" s="33" t="inlineStr">
        <is>
          <t>£49,301 – £49,301</t>
        </is>
      </c>
      <c r="G581" s="33" t="inlineStr">
        <is>
          <t>Adzuna UK</t>
        </is>
      </c>
      <c r="H581" s="29" t="inlineStr">
        <is>
          <t>CONFIRMED</t>
        </is>
      </c>
      <c r="I581" s="33" t="n">
        <v>70</v>
      </c>
      <c r="J581" s="34" t="inlineStr">
        <is>
          <t>Apply Here</t>
        </is>
      </c>
      <c r="K581" s="35" t="inlineStr"/>
      <c r="L581" s="35" t="inlineStr"/>
      <c r="M581" s="35" t="inlineStr">
        <is>
          <t>Pending</t>
        </is>
      </c>
      <c r="N581" s="36" t="inlineStr"/>
      <c r="O581" s="35" t="inlineStr"/>
    </row>
    <row r="582" ht="16" customHeight="1">
      <c r="A582" s="28" t="inlineStr">
        <is>
          <t>4171f80346b7</t>
        </is>
      </c>
      <c r="B582" s="28" t="inlineStr">
        <is>
          <t>08/10/2026</t>
        </is>
      </c>
      <c r="C582" s="28" t="inlineStr">
        <is>
          <t>Hydraulic/Flood Modeller</t>
        </is>
      </c>
      <c r="D582" s="28" t="inlineStr">
        <is>
          <t>TipTopJob</t>
        </is>
      </c>
      <c r="E582" s="28" t="inlineStr">
        <is>
          <t>Stockton-On-Tees, England, United Kingdom</t>
        </is>
      </c>
      <c r="F582" s="28" t="inlineStr">
        <is>
          <t>Not specified</t>
        </is>
      </c>
      <c r="G582" s="28" t="inlineStr">
        <is>
          <t>LinkedIn</t>
        </is>
      </c>
      <c r="H582" s="38" t="inlineStr">
        <is>
          <t>UNKNOWN</t>
        </is>
      </c>
      <c r="I582" s="28" t="n">
        <v>50</v>
      </c>
      <c r="J582" s="30" t="inlineStr">
        <is>
          <t>Apply Here</t>
        </is>
      </c>
      <c r="K582" s="31" t="inlineStr"/>
      <c r="L582" s="31" t="inlineStr"/>
      <c r="M582" s="31" t="inlineStr">
        <is>
          <t>Pending</t>
        </is>
      </c>
      <c r="N582" s="32" t="inlineStr"/>
      <c r="O582" s="31" t="inlineStr"/>
    </row>
    <row r="583" ht="16" customHeight="1">
      <c r="A583" s="33" t="inlineStr">
        <is>
          <t>a60cf78b2a22</t>
        </is>
      </c>
      <c r="B583" s="33" t="inlineStr">
        <is>
          <t>09/10/2026</t>
        </is>
      </c>
      <c r="C583" s="33" t="inlineStr">
        <is>
          <t>Water Design Manager</t>
        </is>
      </c>
      <c r="D583" s="33" t="inlineStr">
        <is>
          <t>AECOM</t>
        </is>
      </c>
      <c r="E583" s="33" t="inlineStr">
        <is>
          <t>Croydon, London</t>
        </is>
      </c>
      <c r="F583" s="33" t="inlineStr">
        <is>
          <t>£43,559 – £43,559</t>
        </is>
      </c>
      <c r="G583" s="33" t="inlineStr">
        <is>
          <t>Adzuna UK</t>
        </is>
      </c>
      <c r="H583" s="29" t="inlineStr">
        <is>
          <t>CONFIRMED</t>
        </is>
      </c>
      <c r="I583" s="33" t="n">
        <v>70</v>
      </c>
      <c r="J583" s="34" t="inlineStr">
        <is>
          <t>Apply Here</t>
        </is>
      </c>
      <c r="K583" s="35" t="inlineStr"/>
      <c r="L583" s="35" t="inlineStr"/>
      <c r="M583" s="35" t="inlineStr">
        <is>
          <t>Pending</t>
        </is>
      </c>
      <c r="N583" s="36" t="inlineStr"/>
      <c r="O583" s="35" t="inlineStr"/>
    </row>
    <row r="584" ht="16" customHeight="1">
      <c r="A584" s="28" t="inlineStr">
        <is>
          <t>33dce3ff7049</t>
        </is>
      </c>
      <c r="B584" s="28" t="inlineStr">
        <is>
          <t>09/10/2026</t>
        </is>
      </c>
      <c r="C584" s="28" t="inlineStr">
        <is>
          <t>Water Design Manager</t>
        </is>
      </c>
      <c r="D584" s="28" t="inlineStr">
        <is>
          <t>AECOM</t>
        </is>
      </c>
      <c r="E584" s="28" t="inlineStr">
        <is>
          <t>Aldgate, Central London</t>
        </is>
      </c>
      <c r="F584" s="28" t="inlineStr">
        <is>
          <t>£46,135 – £46,135</t>
        </is>
      </c>
      <c r="G584" s="28" t="inlineStr">
        <is>
          <t>Adzuna UK</t>
        </is>
      </c>
      <c r="H584" s="29" t="inlineStr">
        <is>
          <t>CONFIRMED</t>
        </is>
      </c>
      <c r="I584" s="28" t="n">
        <v>70</v>
      </c>
      <c r="J584" s="30" t="inlineStr">
        <is>
          <t>Apply Here</t>
        </is>
      </c>
      <c r="K584" s="31" t="inlineStr"/>
      <c r="L584" s="31" t="inlineStr"/>
      <c r="M584" s="31" t="inlineStr">
        <is>
          <t>Pending</t>
        </is>
      </c>
      <c r="N584" s="32" t="inlineStr"/>
      <c r="O584" s="31" t="inlineStr"/>
    </row>
    <row r="585" ht="16" customHeight="1">
      <c r="A585" s="33" t="inlineStr">
        <is>
          <t>672f4bf26070</t>
        </is>
      </c>
      <c r="B585" s="33" t="inlineStr">
        <is>
          <t>09/10/2026</t>
        </is>
      </c>
      <c r="C585" s="33" t="inlineStr">
        <is>
          <t>Senior/ Civil Engineer (Water Infrastructure)</t>
        </is>
      </c>
      <c r="D585" s="33" t="inlineStr">
        <is>
          <t>Sweco</t>
        </is>
      </c>
      <c r="E585" s="33" t="inlineStr">
        <is>
          <t>Glasgow, Scotland, United Kingdom</t>
        </is>
      </c>
      <c r="F585" s="33" t="inlineStr">
        <is>
          <t>Not specified</t>
        </is>
      </c>
      <c r="G585" s="33" t="inlineStr">
        <is>
          <t>LinkedIn</t>
        </is>
      </c>
      <c r="H585" s="29" t="inlineStr">
        <is>
          <t>CONFIRMED</t>
        </is>
      </c>
      <c r="I585" s="33" t="n">
        <v>65</v>
      </c>
      <c r="J585" s="34" t="inlineStr">
        <is>
          <t>Apply Here</t>
        </is>
      </c>
      <c r="K585" s="35" t="inlineStr"/>
      <c r="L585" s="35" t="inlineStr"/>
      <c r="M585" s="35" t="inlineStr">
        <is>
          <t>Pending</t>
        </is>
      </c>
      <c r="N585" s="36" t="inlineStr"/>
      <c r="O585" s="35" t="inlineStr"/>
    </row>
    <row r="586" ht="16" customHeight="1">
      <c r="A586" s="28" t="inlineStr">
        <is>
          <t>46a9d88a64ac</t>
        </is>
      </c>
      <c r="B586" s="28" t="inlineStr">
        <is>
          <t>10/10/2026</t>
        </is>
      </c>
      <c r="C586" s="28" t="inlineStr">
        <is>
          <t>Water Design Manager</t>
        </is>
      </c>
      <c r="D586" s="28" t="inlineStr">
        <is>
          <t>AECOM</t>
        </is>
      </c>
      <c r="E586" s="28" t="inlineStr">
        <is>
          <t>Croydon, London</t>
        </is>
      </c>
      <c r="F586" s="28" t="inlineStr">
        <is>
          <t>£42,270 – £42,270</t>
        </is>
      </c>
      <c r="G586" s="28" t="inlineStr">
        <is>
          <t>Adzuna UK</t>
        </is>
      </c>
      <c r="H586" s="29" t="inlineStr">
        <is>
          <t>CONFIRMED</t>
        </is>
      </c>
      <c r="I586" s="28" t="n">
        <v>70</v>
      </c>
      <c r="J586" s="30" t="inlineStr">
        <is>
          <t>Apply Here</t>
        </is>
      </c>
      <c r="K586" s="31" t="inlineStr"/>
      <c r="L586" s="31" t="inlineStr"/>
      <c r="M586" s="31" t="inlineStr">
        <is>
          <t>Pending</t>
        </is>
      </c>
      <c r="N586" s="32" t="inlineStr"/>
      <c r="O586" s="31" t="inlineStr"/>
    </row>
    <row r="587" ht="16" customHeight="1">
      <c r="A587" s="33" t="inlineStr">
        <is>
          <t>d1e61463bb62</t>
        </is>
      </c>
      <c r="B587" s="33" t="inlineStr">
        <is>
          <t>10/10/2026</t>
        </is>
      </c>
      <c r="C587" s="33" t="inlineStr">
        <is>
          <t>Water Design Manager</t>
        </is>
      </c>
      <c r="D587" s="33" t="inlineStr">
        <is>
          <t>AECOM</t>
        </is>
      </c>
      <c r="E587" s="33" t="inlineStr">
        <is>
          <t>Aldgate, Central London</t>
        </is>
      </c>
      <c r="F587" s="33" t="inlineStr">
        <is>
          <t>£44,293 – £44,293</t>
        </is>
      </c>
      <c r="G587" s="33" t="inlineStr">
        <is>
          <t>Adzuna UK</t>
        </is>
      </c>
      <c r="H587" s="29" t="inlineStr">
        <is>
          <t>CONFIRMED</t>
        </is>
      </c>
      <c r="I587" s="33" t="n">
        <v>70</v>
      </c>
      <c r="J587" s="34" t="inlineStr">
        <is>
          <t>Apply Here</t>
        </is>
      </c>
      <c r="K587" s="35" t="inlineStr"/>
      <c r="L587" s="35" t="inlineStr"/>
      <c r="M587" s="35" t="inlineStr">
        <is>
          <t>Pending</t>
        </is>
      </c>
      <c r="N587" s="36" t="inlineStr"/>
      <c r="O587" s="35" t="inlineStr"/>
    </row>
    <row r="588" ht="16" customHeight="1">
      <c r="A588" s="28" t="inlineStr">
        <is>
          <t>7a5a97fbfc5b</t>
        </is>
      </c>
      <c r="B588" s="28" t="inlineStr">
        <is>
          <t>12/10/2026</t>
        </is>
      </c>
      <c r="C588" s="28" t="inlineStr">
        <is>
          <t>Civil Design Engineer - Water &amp; Infrastructure Projects</t>
        </is>
      </c>
      <c r="D588" s="28" t="inlineStr">
        <is>
          <t>CHG Electrical</t>
        </is>
      </c>
      <c r="E588" s="28" t="inlineStr">
        <is>
          <t>Sheffield, England, United Kingdom</t>
        </is>
      </c>
      <c r="F588" s="28" t="inlineStr">
        <is>
          <t>Not specified</t>
        </is>
      </c>
      <c r="G588" s="28" t="inlineStr">
        <is>
          <t>LinkedIn</t>
        </is>
      </c>
      <c r="H588" s="29" t="inlineStr">
        <is>
          <t>CONFIRMED</t>
        </is>
      </c>
      <c r="I588" s="28" t="n">
        <v>50</v>
      </c>
      <c r="J588" s="30" t="inlineStr">
        <is>
          <t>Apply Here</t>
        </is>
      </c>
      <c r="K588" s="31" t="inlineStr"/>
      <c r="L588" s="31" t="inlineStr"/>
      <c r="M588" s="31" t="inlineStr">
        <is>
          <t>Pending</t>
        </is>
      </c>
      <c r="N588" s="32" t="inlineStr"/>
      <c r="O588" s="31" t="inlineStr"/>
    </row>
    <row r="589" ht="16" customHeight="1">
      <c r="A589" s="33" t="inlineStr">
        <is>
          <t>d1aa58424c51</t>
        </is>
      </c>
      <c r="B589" s="33" t="inlineStr">
        <is>
          <t>14/10/2026</t>
        </is>
      </c>
      <c r="C589" s="33" t="inlineStr">
        <is>
          <t>Civil Designer - Water (Design &amp; Build)</t>
        </is>
      </c>
      <c r="D589" s="33" t="inlineStr">
        <is>
          <t>Jacobs</t>
        </is>
      </c>
      <c r="E589" s="33" t="inlineStr">
        <is>
          <t>London, UK</t>
        </is>
      </c>
      <c r="F589" s="33" t="inlineStr">
        <is>
          <t>£49,301 – £49,301</t>
        </is>
      </c>
      <c r="G589" s="33" t="inlineStr">
        <is>
          <t>Adzuna UK</t>
        </is>
      </c>
      <c r="H589" s="29" t="inlineStr">
        <is>
          <t>CONFIRMED</t>
        </is>
      </c>
      <c r="I589" s="33" t="n">
        <v>70</v>
      </c>
      <c r="J589" s="34" t="inlineStr">
        <is>
          <t>Apply Here</t>
        </is>
      </c>
      <c r="K589" s="35" t="inlineStr"/>
      <c r="L589" s="35" t="inlineStr"/>
      <c r="M589" s="35" t="inlineStr">
        <is>
          <t>Pending</t>
        </is>
      </c>
      <c r="N589" s="36" t="inlineStr"/>
      <c r="O589" s="35" t="inlineStr"/>
    </row>
    <row r="590" ht="16" customHeight="1">
      <c r="A590" s="28" t="inlineStr">
        <is>
          <t>63d5d0501e95</t>
        </is>
      </c>
      <c r="B590" s="28" t="inlineStr">
        <is>
          <t>15/10/2026</t>
        </is>
      </c>
      <c r="C590" s="28" t="inlineStr">
        <is>
          <t>Hydraulic Modeller- Part time or Full time</t>
        </is>
      </c>
      <c r="D590" s="28" t="inlineStr">
        <is>
          <t>Aztrum</t>
        </is>
      </c>
      <c r="E590" s="28" t="inlineStr">
        <is>
          <t>Haultwick, Ware</t>
        </is>
      </c>
      <c r="F590" s="28" t="inlineStr">
        <is>
          <t>£40,000 – £55,000</t>
        </is>
      </c>
      <c r="G590" s="28" t="inlineStr">
        <is>
          <t>Adzuna UK</t>
        </is>
      </c>
      <c r="H590" s="29" t="inlineStr">
        <is>
          <t>CONFIRMED</t>
        </is>
      </c>
      <c r="I590" s="28" t="n">
        <v>150</v>
      </c>
      <c r="J590" s="30" t="inlineStr">
        <is>
          <t>Apply Here</t>
        </is>
      </c>
      <c r="K590" s="31" t="inlineStr"/>
      <c r="L590" s="31" t="inlineStr"/>
      <c r="M590" s="31" t="inlineStr">
        <is>
          <t>Pending</t>
        </is>
      </c>
      <c r="N590" s="32" t="inlineStr"/>
      <c r="O590" s="31" t="inlineStr"/>
    </row>
    <row r="591" ht="16" customHeight="1">
      <c r="A591" s="33" t="inlineStr">
        <is>
          <t>b165a1666d90</t>
        </is>
      </c>
      <c r="B591" s="33" t="inlineStr">
        <is>
          <t>16/10/2026</t>
        </is>
      </c>
      <c r="C591" s="33" t="inlineStr">
        <is>
          <t>Hydraulic Modeller- Part time or Full time</t>
        </is>
      </c>
      <c r="D591" s="33" t="inlineStr">
        <is>
          <t>Aztrum</t>
        </is>
      </c>
      <c r="E591" s="33" t="inlineStr">
        <is>
          <t>Stanstead Abbotts, Ware</t>
        </is>
      </c>
      <c r="F591" s="33" t="inlineStr">
        <is>
          <t>£36,577 – £36,577</t>
        </is>
      </c>
      <c r="G591" s="33" t="inlineStr">
        <is>
          <t>Adzuna UK</t>
        </is>
      </c>
      <c r="H591" s="29" t="inlineStr">
        <is>
          <t>CONFIRMED</t>
        </is>
      </c>
      <c r="I591" s="33" t="n">
        <v>150</v>
      </c>
      <c r="J591" s="34" t="inlineStr">
        <is>
          <t>Apply Here</t>
        </is>
      </c>
      <c r="K591" s="35" t="inlineStr"/>
      <c r="L591" s="35" t="inlineStr"/>
      <c r="M591" s="35" t="inlineStr">
        <is>
          <t>Pending</t>
        </is>
      </c>
      <c r="N591" s="36" t="inlineStr"/>
      <c r="O591" s="35" t="inlineStr"/>
    </row>
    <row r="592" ht="16" customHeight="1">
      <c r="A592" s="28" t="inlineStr">
        <is>
          <t>1a0c656d755b</t>
        </is>
      </c>
      <c r="B592" s="28" t="inlineStr">
        <is>
          <t>17/10/2026</t>
        </is>
      </c>
      <c r="C592" s="28" t="inlineStr">
        <is>
          <t>Drainage and Water Design Engineer</t>
        </is>
      </c>
      <c r="D592" s="28" t="inlineStr">
        <is>
          <t>Kier Group</t>
        </is>
      </c>
      <c r="E592" s="28" t="inlineStr">
        <is>
          <t>Exeter, England, United Kingdom</t>
        </is>
      </c>
      <c r="F592" s="28" t="inlineStr">
        <is>
          <t>Not specified</t>
        </is>
      </c>
      <c r="G592" s="28" t="inlineStr">
        <is>
          <t>LinkedIn</t>
        </is>
      </c>
      <c r="H592" s="29" t="inlineStr">
        <is>
          <t>CONFIRMED</t>
        </is>
      </c>
      <c r="I592" s="28" t="n">
        <v>90</v>
      </c>
      <c r="J592" s="30" t="inlineStr">
        <is>
          <t>Apply Here</t>
        </is>
      </c>
      <c r="K592" s="31" t="inlineStr"/>
      <c r="L592" s="31" t="inlineStr"/>
      <c r="M592" s="31" t="inlineStr">
        <is>
          <t>Pending</t>
        </is>
      </c>
      <c r="N592" s="32" t="inlineStr"/>
      <c r="O592" s="31" t="inlineStr"/>
    </row>
    <row r="593" ht="16" customHeight="1">
      <c r="A593" s="33" t="inlineStr">
        <is>
          <t>ed0df068bf0f</t>
        </is>
      </c>
      <c r="B593" s="33" t="inlineStr">
        <is>
          <t>17/10/2026</t>
        </is>
      </c>
      <c r="C593" s="33" t="inlineStr">
        <is>
          <t>Civil Engineer - Wastewater Infrastructure</t>
        </is>
      </c>
      <c r="D593" s="33" t="inlineStr">
        <is>
          <t>Penguin Recruitment</t>
        </is>
      </c>
      <c r="E593" s="33" t="inlineStr">
        <is>
          <t>Chalvey, Slough</t>
        </is>
      </c>
      <c r="F593" s="33" t="inlineStr">
        <is>
          <t>£40,000 – £55,000</t>
        </is>
      </c>
      <c r="G593" s="33" t="inlineStr">
        <is>
          <t>Adzuna UK</t>
        </is>
      </c>
      <c r="H593" s="29" t="inlineStr">
        <is>
          <t>CONFIRMED</t>
        </is>
      </c>
      <c r="I593" s="33" t="n">
        <v>85</v>
      </c>
      <c r="J593" s="34" t="inlineStr">
        <is>
          <t>Apply Here</t>
        </is>
      </c>
      <c r="K593" s="35" t="inlineStr"/>
      <c r="L593" s="35" t="inlineStr"/>
      <c r="M593" s="35" t="inlineStr">
        <is>
          <t>Pending</t>
        </is>
      </c>
      <c r="N593" s="36" t="inlineStr"/>
      <c r="O593" s="35" t="inlineStr"/>
    </row>
    <row r="594" ht="16" customHeight="1">
      <c r="A594" s="28" t="inlineStr">
        <is>
          <t>64f61b102050</t>
        </is>
      </c>
      <c r="B594" s="28" t="inlineStr">
        <is>
          <t>17/10/2026</t>
        </is>
      </c>
      <c r="C594" s="28" t="inlineStr">
        <is>
          <t>Civil Engineer - Wastewater Infrastructure</t>
        </is>
      </c>
      <c r="D594" s="28" t="inlineStr">
        <is>
          <t>Penguin Recruitment Ltd</t>
        </is>
      </c>
      <c r="E594" s="28" t="inlineStr">
        <is>
          <t>Slough, Berkshire</t>
        </is>
      </c>
      <c r="F594" s="28" t="inlineStr">
        <is>
          <t>£40,000 – £55,000</t>
        </is>
      </c>
      <c r="G594" s="28" t="inlineStr">
        <is>
          <t>Adzuna UK</t>
        </is>
      </c>
      <c r="H594" s="29" t="inlineStr">
        <is>
          <t>CONFIRMED</t>
        </is>
      </c>
      <c r="I594" s="28" t="n">
        <v>85</v>
      </c>
      <c r="J594" s="30" t="inlineStr">
        <is>
          <t>Apply Here</t>
        </is>
      </c>
      <c r="K594" s="31" t="inlineStr"/>
      <c r="L594" s="31" t="inlineStr"/>
      <c r="M594" s="31" t="inlineStr">
        <is>
          <t>Pending</t>
        </is>
      </c>
      <c r="N594" s="32" t="inlineStr"/>
      <c r="O594" s="31" t="inlineStr"/>
    </row>
    <row r="595" ht="16" customHeight="1">
      <c r="A595" s="33" t="inlineStr">
        <is>
          <t>641e4dd29478</t>
        </is>
      </c>
      <c r="B595" s="33" t="inlineStr">
        <is>
          <t>18/10/2026</t>
        </is>
      </c>
      <c r="C595" s="33" t="inlineStr">
        <is>
          <t>Wastewater Network Modeller</t>
        </is>
      </c>
      <c r="D595" s="33" t="inlineStr">
        <is>
          <t>Mott MacDonald</t>
        </is>
      </c>
      <c r="E595" s="33" t="inlineStr">
        <is>
          <t>Edinburgh, Scotland, United Kingdom</t>
        </is>
      </c>
      <c r="F595" s="33" t="inlineStr">
        <is>
          <t>Not specified</t>
        </is>
      </c>
      <c r="G595" s="33" t="inlineStr">
        <is>
          <t>LinkedIn</t>
        </is>
      </c>
      <c r="H595" s="29" t="inlineStr">
        <is>
          <t>CONFIRMED</t>
        </is>
      </c>
      <c r="I595" s="33" t="n">
        <v>50</v>
      </c>
      <c r="J595" s="34" t="inlineStr">
        <is>
          <t>Apply Here</t>
        </is>
      </c>
      <c r="K595" s="35" t="inlineStr"/>
      <c r="L595" s="35" t="inlineStr"/>
      <c r="M595" s="35" t="inlineStr">
        <is>
          <t>Pending</t>
        </is>
      </c>
      <c r="N595" s="36" t="inlineStr"/>
      <c r="O595" s="35" t="inlineStr"/>
    </row>
    <row r="596" ht="16" customHeight="1">
      <c r="A596" s="28" t="inlineStr">
        <is>
          <t>a860d535e95e</t>
        </is>
      </c>
      <c r="B596" s="28" t="inlineStr">
        <is>
          <t>20/10/2026</t>
        </is>
      </c>
      <c r="C596" s="28" t="inlineStr">
        <is>
          <t>Expression of Interest - Drainage and Water Design</t>
        </is>
      </c>
      <c r="D596" s="28" t="inlineStr">
        <is>
          <t>Kier Group</t>
        </is>
      </c>
      <c r="E596" s="28" t="inlineStr">
        <is>
          <t>England, United Kingdom</t>
        </is>
      </c>
      <c r="F596" s="28" t="inlineStr">
        <is>
          <t>Not specified</t>
        </is>
      </c>
      <c r="G596" s="28" t="inlineStr">
        <is>
          <t>LinkedIn</t>
        </is>
      </c>
      <c r="H596" s="29" t="inlineStr">
        <is>
          <t>CONFIRMED</t>
        </is>
      </c>
      <c r="I596" s="28" t="n">
        <v>50</v>
      </c>
      <c r="J596" s="30" t="inlineStr">
        <is>
          <t>Apply Here</t>
        </is>
      </c>
      <c r="K596" s="31" t="inlineStr"/>
      <c r="L596" s="31" t="inlineStr"/>
      <c r="M596" s="31" t="inlineStr">
        <is>
          <t>Pending</t>
        </is>
      </c>
      <c r="N596" s="32" t="inlineStr"/>
      <c r="O596" s="31" t="inlineStr"/>
    </row>
    <row r="597" ht="16" customHeight="1">
      <c r="A597" s="33" t="inlineStr">
        <is>
          <t>5a6139a09231</t>
        </is>
      </c>
      <c r="B597" s="33" t="inlineStr">
        <is>
          <t>22/10/2026</t>
        </is>
      </c>
      <c r="C597" s="33" t="inlineStr">
        <is>
          <t>Civil Design Engineer - Water &amp; Infrastructure Projects</t>
        </is>
      </c>
      <c r="D597" s="33" t="inlineStr">
        <is>
          <t>CHG Electrical</t>
        </is>
      </c>
      <c r="E597" s="33" t="inlineStr">
        <is>
          <t>Sheffield, England, United Kingdom</t>
        </is>
      </c>
      <c r="F597" s="33" t="inlineStr">
        <is>
          <t>Not specified</t>
        </is>
      </c>
      <c r="G597" s="33" t="inlineStr">
        <is>
          <t>LinkedIn</t>
        </is>
      </c>
      <c r="H597" s="29" t="inlineStr">
        <is>
          <t>CONFIRMED</t>
        </is>
      </c>
      <c r="I597" s="33" t="n">
        <v>50</v>
      </c>
      <c r="J597" s="34" t="inlineStr">
        <is>
          <t>Apply Here</t>
        </is>
      </c>
      <c r="K597" s="35" t="inlineStr"/>
      <c r="L597" s="35" t="inlineStr"/>
      <c r="M597" s="35" t="inlineStr">
        <is>
          <t>Pending</t>
        </is>
      </c>
      <c r="N597" s="36" t="inlineStr"/>
      <c r="O597" s="35" t="inlineStr"/>
    </row>
    <row r="598" ht="16" customHeight="1">
      <c r="A598" s="28" t="inlineStr">
        <is>
          <t>6539bc0652b9</t>
        </is>
      </c>
      <c r="B598" s="28" t="inlineStr">
        <is>
          <t>23/10/2026</t>
        </is>
      </c>
      <c r="C598" s="28" t="inlineStr">
        <is>
          <t>Civil Designer - Water (Design &amp; Build)</t>
        </is>
      </c>
      <c r="D598" s="28" t="inlineStr">
        <is>
          <t>Jacobs</t>
        </is>
      </c>
      <c r="E598" s="28" t="inlineStr">
        <is>
          <t>London, UK</t>
        </is>
      </c>
      <c r="F598" s="28" t="inlineStr">
        <is>
          <t>£49,301 – £49,301</t>
        </is>
      </c>
      <c r="G598" s="28" t="inlineStr">
        <is>
          <t>Adzuna UK</t>
        </is>
      </c>
      <c r="H598" s="29" t="inlineStr">
        <is>
          <t>CONFIRMED</t>
        </is>
      </c>
      <c r="I598" s="28" t="n">
        <v>70</v>
      </c>
      <c r="J598" s="30" t="inlineStr">
        <is>
          <t>Apply Here</t>
        </is>
      </c>
      <c r="K598" s="31" t="inlineStr"/>
      <c r="L598" s="31" t="inlineStr"/>
      <c r="M598" s="31" t="inlineStr">
        <is>
          <t>Pending</t>
        </is>
      </c>
      <c r="N598" s="32" t="inlineStr"/>
      <c r="O598" s="31" t="inlineStr"/>
    </row>
    <row r="599" ht="16" customHeight="1">
      <c r="A599" s="33" t="inlineStr">
        <is>
          <t>0c5213574a46</t>
        </is>
      </c>
      <c r="B599" s="33" t="inlineStr">
        <is>
          <t>24/10/2026</t>
        </is>
      </c>
      <c r="C599" s="33" t="inlineStr">
        <is>
          <t>Civil Design Engineer - Water &amp; Infrastructure Projects</t>
        </is>
      </c>
      <c r="D599" s="33" t="inlineStr">
        <is>
          <t>CHG Electrical</t>
        </is>
      </c>
      <c r="E599" s="33" t="inlineStr">
        <is>
          <t>Sheffield, England, United Kingdom</t>
        </is>
      </c>
      <c r="F599" s="33" t="inlineStr">
        <is>
          <t>Not specified</t>
        </is>
      </c>
      <c r="G599" s="33" t="inlineStr">
        <is>
          <t>LinkedIn</t>
        </is>
      </c>
      <c r="H599" s="29" t="inlineStr">
        <is>
          <t>CONFIRMED</t>
        </is>
      </c>
      <c r="I599" s="33" t="n">
        <v>50</v>
      </c>
      <c r="J599" s="34" t="inlineStr">
        <is>
          <t>Apply Here</t>
        </is>
      </c>
      <c r="K599" s="35" t="inlineStr"/>
      <c r="L599" s="35" t="inlineStr"/>
      <c r="M599" s="35" t="inlineStr">
        <is>
          <t>Pending</t>
        </is>
      </c>
      <c r="N599" s="36" t="inlineStr"/>
      <c r="O599" s="35" t="inlineStr"/>
    </row>
    <row r="600" ht="16" customHeight="1">
      <c r="A600" s="28" t="inlineStr">
        <is>
          <t>85a9fc1d9c4f</t>
        </is>
      </c>
      <c r="B600" s="28" t="inlineStr">
        <is>
          <t>25/10/2026</t>
        </is>
      </c>
      <c r="C600" s="28" t="inlineStr">
        <is>
          <t>Civil Design Engineer - Water &amp; Wastewater AMP8</t>
        </is>
      </c>
      <c r="D600" s="28" t="inlineStr">
        <is>
          <t>Arcadis</t>
        </is>
      </c>
      <c r="E600" s="28" t="inlineStr">
        <is>
          <t>Plymouth, England, United Kingdom</t>
        </is>
      </c>
      <c r="F600" s="28" t="inlineStr">
        <is>
          <t>Not specified</t>
        </is>
      </c>
      <c r="G600" s="28" t="inlineStr">
        <is>
          <t>LinkedIn</t>
        </is>
      </c>
      <c r="H600" s="29" t="inlineStr">
        <is>
          <t>CONFIRMED</t>
        </is>
      </c>
      <c r="I600" s="28" t="n">
        <v>75</v>
      </c>
      <c r="J600" s="30" t="inlineStr">
        <is>
          <t>Apply Here</t>
        </is>
      </c>
      <c r="K600" s="31" t="inlineStr"/>
      <c r="L600" s="31" t="inlineStr"/>
      <c r="M600" s="31" t="inlineStr">
        <is>
          <t>Pending</t>
        </is>
      </c>
      <c r="N600" s="32" t="inlineStr"/>
      <c r="O600" s="31" t="inlineStr"/>
    </row>
    <row r="601" ht="16" customHeight="1">
      <c r="A601" s="33" t="inlineStr">
        <is>
          <t>71d0270028a2</t>
        </is>
      </c>
      <c r="B601" s="33" t="inlineStr">
        <is>
          <t>27/10/2026</t>
        </is>
      </c>
      <c r="C601" s="33" t="inlineStr">
        <is>
          <t>Major Water Infrastructure Programme PMO Manager</t>
        </is>
      </c>
      <c r="D601" s="33" t="inlineStr">
        <is>
          <t>Ofwat</t>
        </is>
      </c>
      <c r="E601" s="33" t="inlineStr">
        <is>
          <t>London Area, United Kingdom</t>
        </is>
      </c>
      <c r="F601" s="33" t="inlineStr">
        <is>
          <t>Not specified</t>
        </is>
      </c>
      <c r="G601" s="33" t="inlineStr">
        <is>
          <t>LinkedIn</t>
        </is>
      </c>
      <c r="H601" s="29" t="inlineStr">
        <is>
          <t>CONFIRMED</t>
        </is>
      </c>
      <c r="I601" s="33" t="n">
        <v>75</v>
      </c>
      <c r="J601" s="34" t="inlineStr">
        <is>
          <t>Apply Here</t>
        </is>
      </c>
      <c r="K601" s="35" t="inlineStr"/>
      <c r="L601" s="35" t="inlineStr"/>
      <c r="M601" s="35" t="inlineStr">
        <is>
          <t>Pending</t>
        </is>
      </c>
      <c r="N601" s="36" t="inlineStr"/>
      <c r="O601" s="35" t="inlineStr"/>
    </row>
  </sheetData>
  <dataValidations count="3">
    <dataValidation sqref="K2:K5000" showDropDown="0" showInputMessage="0" showErrorMessage="0" allowBlank="0" type="list">
      <formula1>"Yes,No"</formula1>
    </dataValidation>
    <dataValidation sqref="M2:M5000" showDropDown="0" showInputMessage="0" showErrorMessage="0" allowBlank="0" type="list">
      <formula1>"Pending,Interview Invited,2nd Interview,Offer Received,Rejected,Withdrawn"</formula1>
    </dataValidation>
    <dataValidation sqref="N2:N5000" showDropDown="0" showInputMessage="0" showErrorMessage="0" allowBlank="0" type="list">
      <formula1>"Too junior / entry level,Too senior / overqualified,Wrong sector / not water,Wrong location / too far,Salary too low,Contract / not permanent,Missing required licence/cert,Company culture / reputation,Role not interesting,Duplicate / already applied,Other"</formula1>
    </dataValidation>
  </dataValidations>
  <hyperlinks>
    <hyperlink xmlns:r="http://schemas.openxmlformats.org/officeDocument/2006/relationships" ref="J270" r:id="rId1"/>
    <hyperlink xmlns:r="http://schemas.openxmlformats.org/officeDocument/2006/relationships" ref="J271" r:id="rId2"/>
    <hyperlink xmlns:r="http://schemas.openxmlformats.org/officeDocument/2006/relationships" ref="J272" r:id="rId3"/>
    <hyperlink xmlns:r="http://schemas.openxmlformats.org/officeDocument/2006/relationships" ref="J273" r:id="rId4"/>
    <hyperlink xmlns:r="http://schemas.openxmlformats.org/officeDocument/2006/relationships" ref="J274" r:id="rId5"/>
    <hyperlink xmlns:r="http://schemas.openxmlformats.org/officeDocument/2006/relationships" ref="J275" r:id="rId6"/>
    <hyperlink xmlns:r="http://schemas.openxmlformats.org/officeDocument/2006/relationships" ref="J276" r:id="rId7"/>
    <hyperlink xmlns:r="http://schemas.openxmlformats.org/officeDocument/2006/relationships" ref="J277" r:id="rId8"/>
    <hyperlink xmlns:r="http://schemas.openxmlformats.org/officeDocument/2006/relationships" ref="J278" r:id="rId9"/>
    <hyperlink xmlns:r="http://schemas.openxmlformats.org/officeDocument/2006/relationships" ref="J279" r:id="rId10"/>
    <hyperlink xmlns:r="http://schemas.openxmlformats.org/officeDocument/2006/relationships" ref="J280" r:id="rId11"/>
    <hyperlink xmlns:r="http://schemas.openxmlformats.org/officeDocument/2006/relationships" ref="J281" r:id="rId12"/>
    <hyperlink xmlns:r="http://schemas.openxmlformats.org/officeDocument/2006/relationships" ref="J282" r:id="rId13"/>
    <hyperlink xmlns:r="http://schemas.openxmlformats.org/officeDocument/2006/relationships" ref="J283" r:id="rId14"/>
    <hyperlink xmlns:r="http://schemas.openxmlformats.org/officeDocument/2006/relationships" ref="J284" r:id="rId15"/>
    <hyperlink xmlns:r="http://schemas.openxmlformats.org/officeDocument/2006/relationships" ref="J285" r:id="rId16"/>
    <hyperlink xmlns:r="http://schemas.openxmlformats.org/officeDocument/2006/relationships" ref="J286" r:id="rId17"/>
    <hyperlink xmlns:r="http://schemas.openxmlformats.org/officeDocument/2006/relationships" ref="J287" r:id="rId18"/>
    <hyperlink xmlns:r="http://schemas.openxmlformats.org/officeDocument/2006/relationships" ref="J288" r:id="rId19"/>
    <hyperlink xmlns:r="http://schemas.openxmlformats.org/officeDocument/2006/relationships" ref="J289" r:id="rId20"/>
    <hyperlink xmlns:r="http://schemas.openxmlformats.org/officeDocument/2006/relationships" ref="J290" r:id="rId21"/>
    <hyperlink xmlns:r="http://schemas.openxmlformats.org/officeDocument/2006/relationships" ref="J291" r:id="rId22"/>
    <hyperlink xmlns:r="http://schemas.openxmlformats.org/officeDocument/2006/relationships" ref="J292" r:id="rId23"/>
    <hyperlink xmlns:r="http://schemas.openxmlformats.org/officeDocument/2006/relationships" ref="J293" r:id="rId24"/>
    <hyperlink xmlns:r="http://schemas.openxmlformats.org/officeDocument/2006/relationships" ref="J294" r:id="rId25"/>
    <hyperlink xmlns:r="http://schemas.openxmlformats.org/officeDocument/2006/relationships" ref="J295" r:id="rId26"/>
    <hyperlink xmlns:r="http://schemas.openxmlformats.org/officeDocument/2006/relationships" ref="J296" r:id="rId27"/>
    <hyperlink xmlns:r="http://schemas.openxmlformats.org/officeDocument/2006/relationships" ref="J297" r:id="rId28"/>
    <hyperlink xmlns:r="http://schemas.openxmlformats.org/officeDocument/2006/relationships" ref="J298" r:id="rId29"/>
    <hyperlink xmlns:r="http://schemas.openxmlformats.org/officeDocument/2006/relationships" ref="J299" r:id="rId30"/>
    <hyperlink xmlns:r="http://schemas.openxmlformats.org/officeDocument/2006/relationships" ref="J300" r:id="rId31"/>
    <hyperlink xmlns:r="http://schemas.openxmlformats.org/officeDocument/2006/relationships" ref="J301" r:id="rId32"/>
    <hyperlink xmlns:r="http://schemas.openxmlformats.org/officeDocument/2006/relationships" ref="J302" r:id="rId33"/>
    <hyperlink xmlns:r="http://schemas.openxmlformats.org/officeDocument/2006/relationships" ref="J303" r:id="rId34"/>
    <hyperlink xmlns:r="http://schemas.openxmlformats.org/officeDocument/2006/relationships" ref="J304" r:id="rId35"/>
    <hyperlink xmlns:r="http://schemas.openxmlformats.org/officeDocument/2006/relationships" ref="J305" r:id="rId36"/>
    <hyperlink xmlns:r="http://schemas.openxmlformats.org/officeDocument/2006/relationships" ref="J306" r:id="rId37"/>
    <hyperlink xmlns:r="http://schemas.openxmlformats.org/officeDocument/2006/relationships" ref="J307" r:id="rId38"/>
    <hyperlink xmlns:r="http://schemas.openxmlformats.org/officeDocument/2006/relationships" ref="J308" r:id="rId39"/>
    <hyperlink xmlns:r="http://schemas.openxmlformats.org/officeDocument/2006/relationships" ref="J309" r:id="rId40"/>
    <hyperlink xmlns:r="http://schemas.openxmlformats.org/officeDocument/2006/relationships" ref="J310" r:id="rId41"/>
    <hyperlink xmlns:r="http://schemas.openxmlformats.org/officeDocument/2006/relationships" ref="J311" r:id="rId42"/>
    <hyperlink xmlns:r="http://schemas.openxmlformats.org/officeDocument/2006/relationships" ref="J312" r:id="rId43"/>
    <hyperlink xmlns:r="http://schemas.openxmlformats.org/officeDocument/2006/relationships" ref="J313" r:id="rId44"/>
    <hyperlink xmlns:r="http://schemas.openxmlformats.org/officeDocument/2006/relationships" ref="J314" r:id="rId45"/>
    <hyperlink xmlns:r="http://schemas.openxmlformats.org/officeDocument/2006/relationships" ref="J315" r:id="rId46"/>
    <hyperlink xmlns:r="http://schemas.openxmlformats.org/officeDocument/2006/relationships" ref="J316" r:id="rId47"/>
    <hyperlink xmlns:r="http://schemas.openxmlformats.org/officeDocument/2006/relationships" ref="J317" r:id="rId48"/>
    <hyperlink xmlns:r="http://schemas.openxmlformats.org/officeDocument/2006/relationships" ref="J318" r:id="rId49"/>
    <hyperlink xmlns:r="http://schemas.openxmlformats.org/officeDocument/2006/relationships" ref="J319" r:id="rId50"/>
    <hyperlink xmlns:r="http://schemas.openxmlformats.org/officeDocument/2006/relationships" ref="J320" r:id="rId51"/>
    <hyperlink xmlns:r="http://schemas.openxmlformats.org/officeDocument/2006/relationships" ref="J321" r:id="rId52"/>
    <hyperlink xmlns:r="http://schemas.openxmlformats.org/officeDocument/2006/relationships" ref="J322" r:id="rId53"/>
    <hyperlink xmlns:r="http://schemas.openxmlformats.org/officeDocument/2006/relationships" ref="J323" r:id="rId54"/>
    <hyperlink xmlns:r="http://schemas.openxmlformats.org/officeDocument/2006/relationships" ref="J324" r:id="rId55"/>
    <hyperlink xmlns:r="http://schemas.openxmlformats.org/officeDocument/2006/relationships" ref="J325" r:id="rId56"/>
    <hyperlink xmlns:r="http://schemas.openxmlformats.org/officeDocument/2006/relationships" ref="J326" r:id="rId57"/>
    <hyperlink xmlns:r="http://schemas.openxmlformats.org/officeDocument/2006/relationships" ref="J327" r:id="rId58"/>
    <hyperlink xmlns:r="http://schemas.openxmlformats.org/officeDocument/2006/relationships" ref="J328" r:id="rId59"/>
    <hyperlink xmlns:r="http://schemas.openxmlformats.org/officeDocument/2006/relationships" ref="J329" r:id="rId60"/>
    <hyperlink xmlns:r="http://schemas.openxmlformats.org/officeDocument/2006/relationships" ref="J330" r:id="rId61"/>
    <hyperlink xmlns:r="http://schemas.openxmlformats.org/officeDocument/2006/relationships" ref="J331" r:id="rId62"/>
    <hyperlink xmlns:r="http://schemas.openxmlformats.org/officeDocument/2006/relationships" ref="J332" r:id="rId63"/>
    <hyperlink xmlns:r="http://schemas.openxmlformats.org/officeDocument/2006/relationships" ref="J333" r:id="rId64"/>
    <hyperlink xmlns:r="http://schemas.openxmlformats.org/officeDocument/2006/relationships" ref="J334" r:id="rId65"/>
    <hyperlink xmlns:r="http://schemas.openxmlformats.org/officeDocument/2006/relationships" ref="J335" r:id="rId66"/>
    <hyperlink xmlns:r="http://schemas.openxmlformats.org/officeDocument/2006/relationships" ref="J336" r:id="rId67"/>
    <hyperlink xmlns:r="http://schemas.openxmlformats.org/officeDocument/2006/relationships" ref="J337" r:id="rId68"/>
    <hyperlink xmlns:r="http://schemas.openxmlformats.org/officeDocument/2006/relationships" ref="J338" r:id="rId69"/>
    <hyperlink xmlns:r="http://schemas.openxmlformats.org/officeDocument/2006/relationships" ref="J339" r:id="rId70"/>
    <hyperlink xmlns:r="http://schemas.openxmlformats.org/officeDocument/2006/relationships" ref="J340" r:id="rId71"/>
    <hyperlink xmlns:r="http://schemas.openxmlformats.org/officeDocument/2006/relationships" ref="J341" r:id="rId72"/>
    <hyperlink xmlns:r="http://schemas.openxmlformats.org/officeDocument/2006/relationships" ref="J342" r:id="rId73"/>
    <hyperlink xmlns:r="http://schemas.openxmlformats.org/officeDocument/2006/relationships" ref="J343" r:id="rId74"/>
    <hyperlink xmlns:r="http://schemas.openxmlformats.org/officeDocument/2006/relationships" ref="J344" r:id="rId75"/>
    <hyperlink xmlns:r="http://schemas.openxmlformats.org/officeDocument/2006/relationships" ref="J345" r:id="rId76"/>
    <hyperlink xmlns:r="http://schemas.openxmlformats.org/officeDocument/2006/relationships" ref="J346" r:id="rId77"/>
    <hyperlink xmlns:r="http://schemas.openxmlformats.org/officeDocument/2006/relationships" ref="J347" r:id="rId78"/>
    <hyperlink xmlns:r="http://schemas.openxmlformats.org/officeDocument/2006/relationships" ref="J348" r:id="rId79"/>
    <hyperlink xmlns:r="http://schemas.openxmlformats.org/officeDocument/2006/relationships" ref="J349" r:id="rId80"/>
    <hyperlink xmlns:r="http://schemas.openxmlformats.org/officeDocument/2006/relationships" ref="J350" r:id="rId81"/>
    <hyperlink xmlns:r="http://schemas.openxmlformats.org/officeDocument/2006/relationships" ref="J351" r:id="rId82"/>
    <hyperlink xmlns:r="http://schemas.openxmlformats.org/officeDocument/2006/relationships" ref="J352" r:id="rId83"/>
    <hyperlink xmlns:r="http://schemas.openxmlformats.org/officeDocument/2006/relationships" ref="J353" r:id="rId84"/>
    <hyperlink xmlns:r="http://schemas.openxmlformats.org/officeDocument/2006/relationships" ref="J354" r:id="rId85"/>
    <hyperlink xmlns:r="http://schemas.openxmlformats.org/officeDocument/2006/relationships" ref="J355" r:id="rId86"/>
    <hyperlink xmlns:r="http://schemas.openxmlformats.org/officeDocument/2006/relationships" ref="J356" r:id="rId87"/>
    <hyperlink xmlns:r="http://schemas.openxmlformats.org/officeDocument/2006/relationships" ref="J357" r:id="rId88"/>
    <hyperlink xmlns:r="http://schemas.openxmlformats.org/officeDocument/2006/relationships" ref="J358" r:id="rId89"/>
    <hyperlink xmlns:r="http://schemas.openxmlformats.org/officeDocument/2006/relationships" ref="J359" r:id="rId90"/>
    <hyperlink xmlns:r="http://schemas.openxmlformats.org/officeDocument/2006/relationships" ref="J360" r:id="rId91"/>
    <hyperlink xmlns:r="http://schemas.openxmlformats.org/officeDocument/2006/relationships" ref="J361" r:id="rId92"/>
    <hyperlink xmlns:r="http://schemas.openxmlformats.org/officeDocument/2006/relationships" ref="J362" r:id="rId93"/>
    <hyperlink xmlns:r="http://schemas.openxmlformats.org/officeDocument/2006/relationships" ref="J363" r:id="rId94"/>
    <hyperlink xmlns:r="http://schemas.openxmlformats.org/officeDocument/2006/relationships" ref="J364" r:id="rId95"/>
    <hyperlink xmlns:r="http://schemas.openxmlformats.org/officeDocument/2006/relationships" ref="J365" r:id="rId96"/>
    <hyperlink xmlns:r="http://schemas.openxmlformats.org/officeDocument/2006/relationships" ref="J366" r:id="rId97"/>
    <hyperlink xmlns:r="http://schemas.openxmlformats.org/officeDocument/2006/relationships" ref="J367" r:id="rId98"/>
    <hyperlink xmlns:r="http://schemas.openxmlformats.org/officeDocument/2006/relationships" ref="J368" r:id="rId99"/>
    <hyperlink xmlns:r="http://schemas.openxmlformats.org/officeDocument/2006/relationships" ref="J369" r:id="rId100"/>
    <hyperlink xmlns:r="http://schemas.openxmlformats.org/officeDocument/2006/relationships" ref="J370" r:id="rId101"/>
    <hyperlink xmlns:r="http://schemas.openxmlformats.org/officeDocument/2006/relationships" ref="J371" r:id="rId102"/>
    <hyperlink xmlns:r="http://schemas.openxmlformats.org/officeDocument/2006/relationships" ref="J372" r:id="rId103"/>
    <hyperlink xmlns:r="http://schemas.openxmlformats.org/officeDocument/2006/relationships" ref="J373" r:id="rId104"/>
    <hyperlink xmlns:r="http://schemas.openxmlformats.org/officeDocument/2006/relationships" ref="J374" r:id="rId105"/>
    <hyperlink xmlns:r="http://schemas.openxmlformats.org/officeDocument/2006/relationships" ref="J375" r:id="rId106"/>
    <hyperlink xmlns:r="http://schemas.openxmlformats.org/officeDocument/2006/relationships" ref="J376" r:id="rId107"/>
    <hyperlink xmlns:r="http://schemas.openxmlformats.org/officeDocument/2006/relationships" ref="J377" r:id="rId108"/>
    <hyperlink xmlns:r="http://schemas.openxmlformats.org/officeDocument/2006/relationships" ref="J378" r:id="rId109"/>
    <hyperlink xmlns:r="http://schemas.openxmlformats.org/officeDocument/2006/relationships" ref="J379" r:id="rId110"/>
    <hyperlink xmlns:r="http://schemas.openxmlformats.org/officeDocument/2006/relationships" ref="J380" r:id="rId111"/>
    <hyperlink xmlns:r="http://schemas.openxmlformats.org/officeDocument/2006/relationships" ref="J381" r:id="rId112"/>
    <hyperlink xmlns:r="http://schemas.openxmlformats.org/officeDocument/2006/relationships" ref="J382" r:id="rId113"/>
    <hyperlink xmlns:r="http://schemas.openxmlformats.org/officeDocument/2006/relationships" ref="J383" r:id="rId114"/>
    <hyperlink xmlns:r="http://schemas.openxmlformats.org/officeDocument/2006/relationships" ref="J384" r:id="rId115"/>
    <hyperlink xmlns:r="http://schemas.openxmlformats.org/officeDocument/2006/relationships" ref="J385" r:id="rId116"/>
    <hyperlink xmlns:r="http://schemas.openxmlformats.org/officeDocument/2006/relationships" ref="J386" r:id="rId117"/>
    <hyperlink xmlns:r="http://schemas.openxmlformats.org/officeDocument/2006/relationships" ref="J387" r:id="rId118"/>
    <hyperlink xmlns:r="http://schemas.openxmlformats.org/officeDocument/2006/relationships" ref="J388" r:id="rId119"/>
    <hyperlink xmlns:r="http://schemas.openxmlformats.org/officeDocument/2006/relationships" ref="J389" r:id="rId120"/>
    <hyperlink xmlns:r="http://schemas.openxmlformats.org/officeDocument/2006/relationships" ref="J390" r:id="rId121"/>
    <hyperlink xmlns:r="http://schemas.openxmlformats.org/officeDocument/2006/relationships" ref="J391" r:id="rId122"/>
    <hyperlink xmlns:r="http://schemas.openxmlformats.org/officeDocument/2006/relationships" ref="J392" r:id="rId123"/>
    <hyperlink xmlns:r="http://schemas.openxmlformats.org/officeDocument/2006/relationships" ref="J393" r:id="rId124"/>
    <hyperlink xmlns:r="http://schemas.openxmlformats.org/officeDocument/2006/relationships" ref="J394" r:id="rId125"/>
    <hyperlink xmlns:r="http://schemas.openxmlformats.org/officeDocument/2006/relationships" ref="J395" r:id="rId126"/>
    <hyperlink xmlns:r="http://schemas.openxmlformats.org/officeDocument/2006/relationships" ref="J396" r:id="rId127"/>
    <hyperlink xmlns:r="http://schemas.openxmlformats.org/officeDocument/2006/relationships" ref="J397" r:id="rId128"/>
    <hyperlink xmlns:r="http://schemas.openxmlformats.org/officeDocument/2006/relationships" ref="J398" r:id="rId129"/>
    <hyperlink xmlns:r="http://schemas.openxmlformats.org/officeDocument/2006/relationships" ref="J399" r:id="rId130"/>
    <hyperlink xmlns:r="http://schemas.openxmlformats.org/officeDocument/2006/relationships" ref="J400" r:id="rId131"/>
    <hyperlink xmlns:r="http://schemas.openxmlformats.org/officeDocument/2006/relationships" ref="J401" r:id="rId132"/>
    <hyperlink xmlns:r="http://schemas.openxmlformats.org/officeDocument/2006/relationships" ref="J402" r:id="rId133"/>
    <hyperlink xmlns:r="http://schemas.openxmlformats.org/officeDocument/2006/relationships" ref="J403" r:id="rId134"/>
    <hyperlink xmlns:r="http://schemas.openxmlformats.org/officeDocument/2006/relationships" ref="J404" r:id="rId135"/>
    <hyperlink xmlns:r="http://schemas.openxmlformats.org/officeDocument/2006/relationships" ref="J405" r:id="rId136"/>
    <hyperlink xmlns:r="http://schemas.openxmlformats.org/officeDocument/2006/relationships" ref="J406" r:id="rId137"/>
    <hyperlink xmlns:r="http://schemas.openxmlformats.org/officeDocument/2006/relationships" ref="J407" r:id="rId138"/>
    <hyperlink xmlns:r="http://schemas.openxmlformats.org/officeDocument/2006/relationships" ref="J408" r:id="rId139"/>
    <hyperlink xmlns:r="http://schemas.openxmlformats.org/officeDocument/2006/relationships" ref="J409" r:id="rId140"/>
    <hyperlink xmlns:r="http://schemas.openxmlformats.org/officeDocument/2006/relationships" ref="J410" r:id="rId141"/>
    <hyperlink xmlns:r="http://schemas.openxmlformats.org/officeDocument/2006/relationships" ref="J411" r:id="rId142"/>
    <hyperlink xmlns:r="http://schemas.openxmlformats.org/officeDocument/2006/relationships" ref="J412" r:id="rId143"/>
    <hyperlink xmlns:r="http://schemas.openxmlformats.org/officeDocument/2006/relationships" ref="J413" r:id="rId144"/>
    <hyperlink xmlns:r="http://schemas.openxmlformats.org/officeDocument/2006/relationships" ref="J414" r:id="rId145"/>
    <hyperlink xmlns:r="http://schemas.openxmlformats.org/officeDocument/2006/relationships" ref="J415" r:id="rId146"/>
    <hyperlink xmlns:r="http://schemas.openxmlformats.org/officeDocument/2006/relationships" ref="J416" r:id="rId147"/>
    <hyperlink xmlns:r="http://schemas.openxmlformats.org/officeDocument/2006/relationships" ref="J417" r:id="rId148"/>
    <hyperlink xmlns:r="http://schemas.openxmlformats.org/officeDocument/2006/relationships" ref="J418" r:id="rId149"/>
    <hyperlink xmlns:r="http://schemas.openxmlformats.org/officeDocument/2006/relationships" ref="J419" r:id="rId150"/>
    <hyperlink xmlns:r="http://schemas.openxmlformats.org/officeDocument/2006/relationships" ref="J420" r:id="rId151"/>
    <hyperlink xmlns:r="http://schemas.openxmlformats.org/officeDocument/2006/relationships" ref="J421" r:id="rId152"/>
    <hyperlink xmlns:r="http://schemas.openxmlformats.org/officeDocument/2006/relationships" ref="J422" r:id="rId153"/>
    <hyperlink xmlns:r="http://schemas.openxmlformats.org/officeDocument/2006/relationships" ref="J423" r:id="rId154"/>
    <hyperlink xmlns:r="http://schemas.openxmlformats.org/officeDocument/2006/relationships" ref="J424" r:id="rId155"/>
    <hyperlink xmlns:r="http://schemas.openxmlformats.org/officeDocument/2006/relationships" ref="J425" r:id="rId156"/>
    <hyperlink xmlns:r="http://schemas.openxmlformats.org/officeDocument/2006/relationships" ref="J426" r:id="rId157"/>
    <hyperlink xmlns:r="http://schemas.openxmlformats.org/officeDocument/2006/relationships" ref="J427" r:id="rId158"/>
    <hyperlink xmlns:r="http://schemas.openxmlformats.org/officeDocument/2006/relationships" ref="J428" r:id="rId159"/>
    <hyperlink xmlns:r="http://schemas.openxmlformats.org/officeDocument/2006/relationships" ref="J429" r:id="rId160"/>
    <hyperlink xmlns:r="http://schemas.openxmlformats.org/officeDocument/2006/relationships" ref="J430" r:id="rId161"/>
    <hyperlink xmlns:r="http://schemas.openxmlformats.org/officeDocument/2006/relationships" ref="J431" r:id="rId162"/>
    <hyperlink xmlns:r="http://schemas.openxmlformats.org/officeDocument/2006/relationships" ref="J432" r:id="rId163"/>
    <hyperlink xmlns:r="http://schemas.openxmlformats.org/officeDocument/2006/relationships" ref="J433" r:id="rId164"/>
    <hyperlink xmlns:r="http://schemas.openxmlformats.org/officeDocument/2006/relationships" ref="J434" r:id="rId165"/>
    <hyperlink xmlns:r="http://schemas.openxmlformats.org/officeDocument/2006/relationships" ref="J435" r:id="rId166"/>
    <hyperlink xmlns:r="http://schemas.openxmlformats.org/officeDocument/2006/relationships" ref="J436" r:id="rId167"/>
    <hyperlink xmlns:r="http://schemas.openxmlformats.org/officeDocument/2006/relationships" ref="J437" r:id="rId168"/>
    <hyperlink xmlns:r="http://schemas.openxmlformats.org/officeDocument/2006/relationships" ref="J438" r:id="rId169"/>
    <hyperlink xmlns:r="http://schemas.openxmlformats.org/officeDocument/2006/relationships" ref="J439" r:id="rId170"/>
    <hyperlink xmlns:r="http://schemas.openxmlformats.org/officeDocument/2006/relationships" ref="J440" r:id="rId171"/>
    <hyperlink xmlns:r="http://schemas.openxmlformats.org/officeDocument/2006/relationships" ref="J441" r:id="rId172"/>
    <hyperlink xmlns:r="http://schemas.openxmlformats.org/officeDocument/2006/relationships" ref="J442" r:id="rId173"/>
    <hyperlink xmlns:r="http://schemas.openxmlformats.org/officeDocument/2006/relationships" ref="J443" r:id="rId174"/>
    <hyperlink xmlns:r="http://schemas.openxmlformats.org/officeDocument/2006/relationships" ref="J444" r:id="rId175"/>
    <hyperlink xmlns:r="http://schemas.openxmlformats.org/officeDocument/2006/relationships" ref="J445" r:id="rId176"/>
    <hyperlink xmlns:r="http://schemas.openxmlformats.org/officeDocument/2006/relationships" ref="J446" r:id="rId177"/>
    <hyperlink xmlns:r="http://schemas.openxmlformats.org/officeDocument/2006/relationships" ref="J447" r:id="rId178"/>
    <hyperlink xmlns:r="http://schemas.openxmlformats.org/officeDocument/2006/relationships" ref="J448" r:id="rId179"/>
    <hyperlink xmlns:r="http://schemas.openxmlformats.org/officeDocument/2006/relationships" ref="J449" r:id="rId180"/>
    <hyperlink xmlns:r="http://schemas.openxmlformats.org/officeDocument/2006/relationships" ref="J450" r:id="rId181"/>
    <hyperlink xmlns:r="http://schemas.openxmlformats.org/officeDocument/2006/relationships" ref="J451" r:id="rId182"/>
    <hyperlink xmlns:r="http://schemas.openxmlformats.org/officeDocument/2006/relationships" ref="J452" r:id="rId183"/>
    <hyperlink xmlns:r="http://schemas.openxmlformats.org/officeDocument/2006/relationships" ref="J453" r:id="rId184"/>
    <hyperlink xmlns:r="http://schemas.openxmlformats.org/officeDocument/2006/relationships" ref="J454" r:id="rId185"/>
    <hyperlink xmlns:r="http://schemas.openxmlformats.org/officeDocument/2006/relationships" ref="J455" r:id="rId186"/>
    <hyperlink xmlns:r="http://schemas.openxmlformats.org/officeDocument/2006/relationships" ref="J456" r:id="rId187"/>
    <hyperlink xmlns:r="http://schemas.openxmlformats.org/officeDocument/2006/relationships" ref="J457" r:id="rId188"/>
    <hyperlink xmlns:r="http://schemas.openxmlformats.org/officeDocument/2006/relationships" ref="J458" r:id="rId189"/>
    <hyperlink xmlns:r="http://schemas.openxmlformats.org/officeDocument/2006/relationships" ref="J459" r:id="rId190"/>
    <hyperlink xmlns:r="http://schemas.openxmlformats.org/officeDocument/2006/relationships" ref="J460" r:id="rId191"/>
    <hyperlink xmlns:r="http://schemas.openxmlformats.org/officeDocument/2006/relationships" ref="J461" r:id="rId192"/>
    <hyperlink xmlns:r="http://schemas.openxmlformats.org/officeDocument/2006/relationships" ref="J462" r:id="rId193"/>
    <hyperlink xmlns:r="http://schemas.openxmlformats.org/officeDocument/2006/relationships" ref="J463" r:id="rId194"/>
    <hyperlink xmlns:r="http://schemas.openxmlformats.org/officeDocument/2006/relationships" ref="J464" r:id="rId195"/>
    <hyperlink xmlns:r="http://schemas.openxmlformats.org/officeDocument/2006/relationships" ref="J465" r:id="rId196"/>
    <hyperlink xmlns:r="http://schemas.openxmlformats.org/officeDocument/2006/relationships" ref="J466" r:id="rId197"/>
    <hyperlink xmlns:r="http://schemas.openxmlformats.org/officeDocument/2006/relationships" ref="J467" r:id="rId198"/>
    <hyperlink xmlns:r="http://schemas.openxmlformats.org/officeDocument/2006/relationships" ref="J468" r:id="rId199"/>
    <hyperlink xmlns:r="http://schemas.openxmlformats.org/officeDocument/2006/relationships" ref="J469" r:id="rId200"/>
    <hyperlink xmlns:r="http://schemas.openxmlformats.org/officeDocument/2006/relationships" ref="J470" r:id="rId201"/>
    <hyperlink xmlns:r="http://schemas.openxmlformats.org/officeDocument/2006/relationships" ref="J471" r:id="rId202"/>
    <hyperlink xmlns:r="http://schemas.openxmlformats.org/officeDocument/2006/relationships" ref="J472" r:id="rId203"/>
    <hyperlink xmlns:r="http://schemas.openxmlformats.org/officeDocument/2006/relationships" ref="J473" r:id="rId204"/>
    <hyperlink xmlns:r="http://schemas.openxmlformats.org/officeDocument/2006/relationships" ref="J474" r:id="rId205"/>
    <hyperlink xmlns:r="http://schemas.openxmlformats.org/officeDocument/2006/relationships" ref="J475" r:id="rId206"/>
    <hyperlink xmlns:r="http://schemas.openxmlformats.org/officeDocument/2006/relationships" ref="J476" r:id="rId207"/>
    <hyperlink xmlns:r="http://schemas.openxmlformats.org/officeDocument/2006/relationships" ref="J477" r:id="rId208"/>
    <hyperlink xmlns:r="http://schemas.openxmlformats.org/officeDocument/2006/relationships" ref="J478" r:id="rId209"/>
    <hyperlink xmlns:r="http://schemas.openxmlformats.org/officeDocument/2006/relationships" ref="J479" r:id="rId210"/>
    <hyperlink xmlns:r="http://schemas.openxmlformats.org/officeDocument/2006/relationships" ref="J480" r:id="rId211"/>
    <hyperlink xmlns:r="http://schemas.openxmlformats.org/officeDocument/2006/relationships" ref="J481" r:id="rId212"/>
    <hyperlink xmlns:r="http://schemas.openxmlformats.org/officeDocument/2006/relationships" ref="J482" r:id="rId213"/>
    <hyperlink xmlns:r="http://schemas.openxmlformats.org/officeDocument/2006/relationships" ref="J483" r:id="rId214"/>
    <hyperlink xmlns:r="http://schemas.openxmlformats.org/officeDocument/2006/relationships" ref="J484" r:id="rId215"/>
    <hyperlink xmlns:r="http://schemas.openxmlformats.org/officeDocument/2006/relationships" ref="J485" r:id="rId216"/>
    <hyperlink xmlns:r="http://schemas.openxmlformats.org/officeDocument/2006/relationships" ref="J486" r:id="rId217"/>
    <hyperlink xmlns:r="http://schemas.openxmlformats.org/officeDocument/2006/relationships" ref="J487" r:id="rId218"/>
    <hyperlink xmlns:r="http://schemas.openxmlformats.org/officeDocument/2006/relationships" ref="J488" r:id="rId219"/>
    <hyperlink xmlns:r="http://schemas.openxmlformats.org/officeDocument/2006/relationships" ref="J489" r:id="rId220"/>
    <hyperlink xmlns:r="http://schemas.openxmlformats.org/officeDocument/2006/relationships" ref="J490" r:id="rId221"/>
    <hyperlink xmlns:r="http://schemas.openxmlformats.org/officeDocument/2006/relationships" ref="J491" r:id="rId222"/>
    <hyperlink xmlns:r="http://schemas.openxmlformats.org/officeDocument/2006/relationships" ref="J492" r:id="rId223"/>
    <hyperlink xmlns:r="http://schemas.openxmlformats.org/officeDocument/2006/relationships" ref="J493" r:id="rId224"/>
    <hyperlink xmlns:r="http://schemas.openxmlformats.org/officeDocument/2006/relationships" ref="J494" r:id="rId225"/>
    <hyperlink xmlns:r="http://schemas.openxmlformats.org/officeDocument/2006/relationships" ref="J495" r:id="rId226"/>
    <hyperlink xmlns:r="http://schemas.openxmlformats.org/officeDocument/2006/relationships" ref="J496" r:id="rId227"/>
    <hyperlink xmlns:r="http://schemas.openxmlformats.org/officeDocument/2006/relationships" ref="J497" r:id="rId228"/>
    <hyperlink xmlns:r="http://schemas.openxmlformats.org/officeDocument/2006/relationships" ref="J498" r:id="rId229"/>
    <hyperlink xmlns:r="http://schemas.openxmlformats.org/officeDocument/2006/relationships" ref="J499" r:id="rId230"/>
    <hyperlink xmlns:r="http://schemas.openxmlformats.org/officeDocument/2006/relationships" ref="J500" r:id="rId231"/>
    <hyperlink xmlns:r="http://schemas.openxmlformats.org/officeDocument/2006/relationships" ref="J501" r:id="rId232"/>
    <hyperlink xmlns:r="http://schemas.openxmlformats.org/officeDocument/2006/relationships" ref="J502" r:id="rId233"/>
    <hyperlink xmlns:r="http://schemas.openxmlformats.org/officeDocument/2006/relationships" ref="J503" r:id="rId234"/>
    <hyperlink xmlns:r="http://schemas.openxmlformats.org/officeDocument/2006/relationships" ref="J504" r:id="rId235"/>
    <hyperlink xmlns:r="http://schemas.openxmlformats.org/officeDocument/2006/relationships" ref="J505" r:id="rId236"/>
    <hyperlink xmlns:r="http://schemas.openxmlformats.org/officeDocument/2006/relationships" ref="J506" r:id="rId237"/>
    <hyperlink xmlns:r="http://schemas.openxmlformats.org/officeDocument/2006/relationships" ref="J507" r:id="rId238"/>
    <hyperlink xmlns:r="http://schemas.openxmlformats.org/officeDocument/2006/relationships" ref="J508" r:id="rId239"/>
    <hyperlink xmlns:r="http://schemas.openxmlformats.org/officeDocument/2006/relationships" ref="J509" r:id="rId240"/>
    <hyperlink xmlns:r="http://schemas.openxmlformats.org/officeDocument/2006/relationships" ref="J510" r:id="rId241"/>
    <hyperlink xmlns:r="http://schemas.openxmlformats.org/officeDocument/2006/relationships" ref="J511" r:id="rId242"/>
    <hyperlink xmlns:r="http://schemas.openxmlformats.org/officeDocument/2006/relationships" ref="J512" r:id="rId243"/>
    <hyperlink xmlns:r="http://schemas.openxmlformats.org/officeDocument/2006/relationships" ref="J513" r:id="rId244"/>
    <hyperlink xmlns:r="http://schemas.openxmlformats.org/officeDocument/2006/relationships" ref="J514" r:id="rId245"/>
    <hyperlink xmlns:r="http://schemas.openxmlformats.org/officeDocument/2006/relationships" ref="J515" r:id="rId246"/>
    <hyperlink xmlns:r="http://schemas.openxmlformats.org/officeDocument/2006/relationships" ref="J516" r:id="rId247"/>
    <hyperlink xmlns:r="http://schemas.openxmlformats.org/officeDocument/2006/relationships" ref="J517" r:id="rId248"/>
    <hyperlink xmlns:r="http://schemas.openxmlformats.org/officeDocument/2006/relationships" ref="J518" r:id="rId249"/>
    <hyperlink xmlns:r="http://schemas.openxmlformats.org/officeDocument/2006/relationships" ref="J519" r:id="rId250"/>
    <hyperlink xmlns:r="http://schemas.openxmlformats.org/officeDocument/2006/relationships" ref="J520" r:id="rId251"/>
    <hyperlink xmlns:r="http://schemas.openxmlformats.org/officeDocument/2006/relationships" ref="J521" r:id="rId252"/>
    <hyperlink xmlns:r="http://schemas.openxmlformats.org/officeDocument/2006/relationships" ref="J522" r:id="rId253"/>
    <hyperlink xmlns:r="http://schemas.openxmlformats.org/officeDocument/2006/relationships" ref="J523" r:id="rId254"/>
    <hyperlink xmlns:r="http://schemas.openxmlformats.org/officeDocument/2006/relationships" ref="J524" r:id="rId255"/>
    <hyperlink xmlns:r="http://schemas.openxmlformats.org/officeDocument/2006/relationships" ref="J525" r:id="rId256"/>
    <hyperlink xmlns:r="http://schemas.openxmlformats.org/officeDocument/2006/relationships" ref="J526" r:id="rId257"/>
    <hyperlink xmlns:r="http://schemas.openxmlformats.org/officeDocument/2006/relationships" ref="J527" r:id="rId258"/>
    <hyperlink xmlns:r="http://schemas.openxmlformats.org/officeDocument/2006/relationships" ref="J528" r:id="rId259"/>
    <hyperlink xmlns:r="http://schemas.openxmlformats.org/officeDocument/2006/relationships" ref="J529" r:id="rId260"/>
    <hyperlink xmlns:r="http://schemas.openxmlformats.org/officeDocument/2006/relationships" ref="J530" r:id="rId261"/>
    <hyperlink xmlns:r="http://schemas.openxmlformats.org/officeDocument/2006/relationships" ref="J531" r:id="rId262"/>
    <hyperlink xmlns:r="http://schemas.openxmlformats.org/officeDocument/2006/relationships" ref="J532" r:id="rId263"/>
    <hyperlink xmlns:r="http://schemas.openxmlformats.org/officeDocument/2006/relationships" ref="J533" r:id="rId264"/>
    <hyperlink xmlns:r="http://schemas.openxmlformats.org/officeDocument/2006/relationships" ref="J534" r:id="rId265"/>
    <hyperlink xmlns:r="http://schemas.openxmlformats.org/officeDocument/2006/relationships" ref="J535" r:id="rId266"/>
    <hyperlink xmlns:r="http://schemas.openxmlformats.org/officeDocument/2006/relationships" ref="J536" r:id="rId267"/>
    <hyperlink xmlns:r="http://schemas.openxmlformats.org/officeDocument/2006/relationships" ref="J537" r:id="rId268"/>
    <hyperlink xmlns:r="http://schemas.openxmlformats.org/officeDocument/2006/relationships" ref="J538" r:id="rId269"/>
    <hyperlink xmlns:r="http://schemas.openxmlformats.org/officeDocument/2006/relationships" ref="J539" r:id="rId270"/>
    <hyperlink xmlns:r="http://schemas.openxmlformats.org/officeDocument/2006/relationships" ref="J540" r:id="rId271"/>
    <hyperlink xmlns:r="http://schemas.openxmlformats.org/officeDocument/2006/relationships" ref="J541" r:id="rId272"/>
    <hyperlink xmlns:r="http://schemas.openxmlformats.org/officeDocument/2006/relationships" ref="J542" r:id="rId273"/>
    <hyperlink xmlns:r="http://schemas.openxmlformats.org/officeDocument/2006/relationships" ref="J543" r:id="rId274"/>
    <hyperlink xmlns:r="http://schemas.openxmlformats.org/officeDocument/2006/relationships" ref="J544" r:id="rId275"/>
    <hyperlink xmlns:r="http://schemas.openxmlformats.org/officeDocument/2006/relationships" ref="J545" r:id="rId276"/>
    <hyperlink xmlns:r="http://schemas.openxmlformats.org/officeDocument/2006/relationships" ref="J546" r:id="rId277"/>
    <hyperlink xmlns:r="http://schemas.openxmlformats.org/officeDocument/2006/relationships" ref="J547" r:id="rId278"/>
    <hyperlink xmlns:r="http://schemas.openxmlformats.org/officeDocument/2006/relationships" ref="J548" r:id="rId279"/>
    <hyperlink xmlns:r="http://schemas.openxmlformats.org/officeDocument/2006/relationships" ref="J549" r:id="rId280"/>
    <hyperlink xmlns:r="http://schemas.openxmlformats.org/officeDocument/2006/relationships" ref="J550" r:id="rId281"/>
    <hyperlink xmlns:r="http://schemas.openxmlformats.org/officeDocument/2006/relationships" ref="J551" r:id="rId282"/>
    <hyperlink xmlns:r="http://schemas.openxmlformats.org/officeDocument/2006/relationships" ref="J552" r:id="rId283"/>
    <hyperlink xmlns:r="http://schemas.openxmlformats.org/officeDocument/2006/relationships" ref="J553" r:id="rId284"/>
    <hyperlink xmlns:r="http://schemas.openxmlformats.org/officeDocument/2006/relationships" ref="J554" r:id="rId285"/>
    <hyperlink xmlns:r="http://schemas.openxmlformats.org/officeDocument/2006/relationships" ref="J555" r:id="rId286"/>
    <hyperlink xmlns:r="http://schemas.openxmlformats.org/officeDocument/2006/relationships" ref="J556" r:id="rId287"/>
    <hyperlink xmlns:r="http://schemas.openxmlformats.org/officeDocument/2006/relationships" ref="J557" r:id="rId288"/>
    <hyperlink xmlns:r="http://schemas.openxmlformats.org/officeDocument/2006/relationships" ref="J558" r:id="rId289"/>
    <hyperlink xmlns:r="http://schemas.openxmlformats.org/officeDocument/2006/relationships" ref="J559" r:id="rId290"/>
    <hyperlink xmlns:r="http://schemas.openxmlformats.org/officeDocument/2006/relationships" ref="J560" r:id="rId291"/>
    <hyperlink xmlns:r="http://schemas.openxmlformats.org/officeDocument/2006/relationships" ref="J561" r:id="rId292"/>
    <hyperlink xmlns:r="http://schemas.openxmlformats.org/officeDocument/2006/relationships" ref="J562" r:id="rId293"/>
    <hyperlink xmlns:r="http://schemas.openxmlformats.org/officeDocument/2006/relationships" ref="J563" r:id="rId294"/>
    <hyperlink xmlns:r="http://schemas.openxmlformats.org/officeDocument/2006/relationships" ref="J564" r:id="rId295"/>
    <hyperlink xmlns:r="http://schemas.openxmlformats.org/officeDocument/2006/relationships" ref="J565" r:id="rId296"/>
    <hyperlink xmlns:r="http://schemas.openxmlformats.org/officeDocument/2006/relationships" ref="J566" r:id="rId297"/>
    <hyperlink xmlns:r="http://schemas.openxmlformats.org/officeDocument/2006/relationships" ref="J567" r:id="rId298"/>
    <hyperlink xmlns:r="http://schemas.openxmlformats.org/officeDocument/2006/relationships" ref="J568" r:id="rId299"/>
    <hyperlink xmlns:r="http://schemas.openxmlformats.org/officeDocument/2006/relationships" ref="J569" r:id="rId300"/>
    <hyperlink xmlns:r="http://schemas.openxmlformats.org/officeDocument/2006/relationships" ref="J570" r:id="rId301"/>
    <hyperlink xmlns:r="http://schemas.openxmlformats.org/officeDocument/2006/relationships" ref="J571" r:id="rId302"/>
    <hyperlink xmlns:r="http://schemas.openxmlformats.org/officeDocument/2006/relationships" ref="J572" r:id="rId303"/>
    <hyperlink xmlns:r="http://schemas.openxmlformats.org/officeDocument/2006/relationships" ref="J573" r:id="rId304"/>
    <hyperlink xmlns:r="http://schemas.openxmlformats.org/officeDocument/2006/relationships" ref="J574" r:id="rId305"/>
    <hyperlink xmlns:r="http://schemas.openxmlformats.org/officeDocument/2006/relationships" ref="J575" r:id="rId306"/>
    <hyperlink xmlns:r="http://schemas.openxmlformats.org/officeDocument/2006/relationships" ref="J576" r:id="rId307"/>
    <hyperlink xmlns:r="http://schemas.openxmlformats.org/officeDocument/2006/relationships" ref="J577" r:id="rId308"/>
    <hyperlink xmlns:r="http://schemas.openxmlformats.org/officeDocument/2006/relationships" ref="J578" r:id="rId309"/>
    <hyperlink xmlns:r="http://schemas.openxmlformats.org/officeDocument/2006/relationships" ref="J579" r:id="rId310"/>
    <hyperlink xmlns:r="http://schemas.openxmlformats.org/officeDocument/2006/relationships" ref="J580" r:id="rId311"/>
    <hyperlink xmlns:r="http://schemas.openxmlformats.org/officeDocument/2006/relationships" ref="J581" r:id="rId312"/>
    <hyperlink xmlns:r="http://schemas.openxmlformats.org/officeDocument/2006/relationships" ref="J582" r:id="rId313"/>
    <hyperlink xmlns:r="http://schemas.openxmlformats.org/officeDocument/2006/relationships" ref="J583" r:id="rId314"/>
    <hyperlink xmlns:r="http://schemas.openxmlformats.org/officeDocument/2006/relationships" ref="J584" r:id="rId315"/>
    <hyperlink xmlns:r="http://schemas.openxmlformats.org/officeDocument/2006/relationships" ref="J585" r:id="rId316"/>
    <hyperlink xmlns:r="http://schemas.openxmlformats.org/officeDocument/2006/relationships" ref="J586" r:id="rId317"/>
    <hyperlink xmlns:r="http://schemas.openxmlformats.org/officeDocument/2006/relationships" ref="J587" r:id="rId318"/>
    <hyperlink xmlns:r="http://schemas.openxmlformats.org/officeDocument/2006/relationships" ref="J588" r:id="rId319"/>
    <hyperlink xmlns:r="http://schemas.openxmlformats.org/officeDocument/2006/relationships" ref="J589" r:id="rId320"/>
    <hyperlink xmlns:r="http://schemas.openxmlformats.org/officeDocument/2006/relationships" ref="J590" r:id="rId321"/>
    <hyperlink xmlns:r="http://schemas.openxmlformats.org/officeDocument/2006/relationships" ref="J591" r:id="rId322"/>
    <hyperlink xmlns:r="http://schemas.openxmlformats.org/officeDocument/2006/relationships" ref="J592" r:id="rId323"/>
    <hyperlink xmlns:r="http://schemas.openxmlformats.org/officeDocument/2006/relationships" ref="J593" r:id="rId324"/>
    <hyperlink xmlns:r="http://schemas.openxmlformats.org/officeDocument/2006/relationships" ref="J594" r:id="rId325"/>
    <hyperlink xmlns:r="http://schemas.openxmlformats.org/officeDocument/2006/relationships" ref="J595" r:id="rId326"/>
    <hyperlink xmlns:r="http://schemas.openxmlformats.org/officeDocument/2006/relationships" ref="J596" r:id="rId327"/>
    <hyperlink xmlns:r="http://schemas.openxmlformats.org/officeDocument/2006/relationships" ref="J597" r:id="rId328"/>
    <hyperlink xmlns:r="http://schemas.openxmlformats.org/officeDocument/2006/relationships" ref="J598" r:id="rId329"/>
    <hyperlink xmlns:r="http://schemas.openxmlformats.org/officeDocument/2006/relationships" ref="J599" r:id="rId330"/>
    <hyperlink xmlns:r="http://schemas.openxmlformats.org/officeDocument/2006/relationships" ref="J600" r:id="rId331"/>
    <hyperlink xmlns:r="http://schemas.openxmlformats.org/officeDocument/2006/relationships" ref="J601" r:id="rId33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4" t="inlineStr">
        <is>
          <t>Application Stats — Ishaan Kumar</t>
        </is>
      </c>
    </row>
    <row r="3">
      <c r="A3" s="5" t="inlineStr">
        <is>
          <t>Total Jobs Sent</t>
        </is>
      </c>
      <c r="B3" s="6">
        <f>COUNTA('Job Applications'!B2:B5000)</f>
        <v/>
      </c>
    </row>
    <row r="4">
      <c r="A4" s="5" t="inlineStr">
        <is>
          <t>Applied</t>
        </is>
      </c>
      <c r="B4" s="6">
        <f>COUNTIF('Job Applications'!K2:K5000,"Yes")</f>
        <v/>
      </c>
    </row>
    <row r="5">
      <c r="A5" s="5" t="inlineStr">
        <is>
          <t>Not Applied (skipped)</t>
        </is>
      </c>
      <c r="B5" s="6">
        <f>COUNTIF('Job Applications'!K2:K5000,"No")</f>
        <v/>
      </c>
    </row>
    <row r="6">
      <c r="A6" s="5" t="inlineStr">
        <is>
          <t>Awaiting Decision</t>
        </is>
      </c>
      <c r="B6" s="6">
        <f>COUNTIF('Job Applications'!M2:M5000,"Pending")</f>
        <v/>
      </c>
    </row>
    <row r="7">
      <c r="A7" s="5" t="inlineStr">
        <is>
          <t>Interviews</t>
        </is>
      </c>
      <c r="B7" s="6">
        <f>COUNTIF('Job Applications'!M2:M5000,"Interview Invited")</f>
        <v/>
      </c>
    </row>
    <row r="8">
      <c r="A8" s="5" t="inlineStr">
        <is>
          <t>2nd Interviews</t>
        </is>
      </c>
      <c r="B8" s="6">
        <f>COUNTIF('Job Applications'!M2:M5000,"2nd Interview")</f>
        <v/>
      </c>
    </row>
    <row r="9">
      <c r="A9" s="5" t="inlineStr">
        <is>
          <t>Offers</t>
        </is>
      </c>
      <c r="B9" s="6">
        <f>COUNTIF('Job Applications'!M2:M5000,"Offer Received")</f>
        <v/>
      </c>
    </row>
    <row r="10">
      <c r="A10" s="5" t="inlineStr">
        <is>
          <t>Rejected by employer</t>
        </is>
      </c>
      <c r="B10" s="6">
        <f>COUNTIF('Job Applications'!M2:M5000,"Rejected")</f>
        <v/>
      </c>
    </row>
    <row r="11">
      <c r="A11" s="5" t="inlineStr">
        <is>
          <t>Application Rate</t>
        </is>
      </c>
      <c r="B11" s="6">
        <f>IFERROR(TEXT(B3/B2,"0%"),"-")</f>
        <v/>
      </c>
    </row>
    <row r="12">
      <c r="A12" s="5" t="inlineStr">
        <is>
          <t>Interview Rate</t>
        </is>
      </c>
      <c r="B12" s="6">
        <f>IFERROR(TEXT(B6/B3,"0%"),"-")</f>
        <v/>
      </c>
    </row>
    <row r="13">
      <c r="A13" s="7" t="inlineStr">
        <is>
          <t>---</t>
        </is>
      </c>
      <c r="B13" s="8" t="inlineStr"/>
    </row>
    <row r="14">
      <c r="A14" s="5" t="inlineStr">
        <is>
          <t>Why No — Too junior</t>
        </is>
      </c>
      <c r="B14" s="6">
        <f>COUNTIF('Job Applications'!N2:N5000,"Too junior / entry level")</f>
        <v/>
      </c>
    </row>
    <row r="15">
      <c r="A15" s="5" t="inlineStr">
        <is>
          <t>Why No — Too senior</t>
        </is>
      </c>
      <c r="B15" s="6">
        <f>COUNTIF('Job Applications'!N2:N5000,"Too senior / overqualified")</f>
        <v/>
      </c>
    </row>
    <row r="16">
      <c r="A16" s="5" t="inlineStr">
        <is>
          <t>Why No — Wrong sector</t>
        </is>
      </c>
      <c r="B16" s="6">
        <f>COUNTIF('Job Applications'!N2:N5000,"Wrong sector / not water")</f>
        <v/>
      </c>
    </row>
    <row r="17">
      <c r="A17" s="5" t="inlineStr">
        <is>
          <t>Why No — Wrong location</t>
        </is>
      </c>
      <c r="B17" s="6">
        <f>COUNTIF('Job Applications'!N2:N5000,"Wrong location / too far")</f>
        <v/>
      </c>
    </row>
    <row r="18">
      <c r="A18" s="5" t="inlineStr">
        <is>
          <t>Why No — Salary too low</t>
        </is>
      </c>
      <c r="B18" s="6">
        <f>COUNTIF('Job Applications'!N2:N5000,"Salary too low")</f>
        <v/>
      </c>
    </row>
    <row r="19">
      <c r="A19" s="5" t="inlineStr">
        <is>
          <t>Why No — Contract role</t>
        </is>
      </c>
      <c r="B19" s="6">
        <f>COUNTIF('Job Applications'!N2:N5000,"Contract / not permanent")</f>
        <v/>
      </c>
    </row>
    <row r="20">
      <c r="A20" s="5" t="inlineStr">
        <is>
          <t>Why No — Missing cert</t>
        </is>
      </c>
      <c r="B20" s="6">
        <f>COUNTIF('Job Applications'!N2:N5000,"Missing required licence/cert")</f>
        <v/>
      </c>
    </row>
    <row r="21">
      <c r="A21" s="5" t="inlineStr">
        <is>
          <t>Why No — Other</t>
        </is>
      </c>
      <c r="B21" s="6">
        <f>COUNTIF('Job Applications'!N2:N5000,"Other")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2026-02-15T09:46:34Z</dcterms:created>
  <dcterms:modified xmlns:dcterms="http://purl.org/dc/terms/" xmlns:xsi="http://www.w3.org/2001/XMLSchema-instance" xsi:type="dcterms:W3CDTF">2026-10-27T12:49:43Z</dcterms:modified>
</cp:coreProperties>
</file>