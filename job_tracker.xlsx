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8130" windowWidth="29040" windowHeight="15720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b val="1"/>
      <color rgb="FF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  <u val="single"/>
    </font>
    <font>
      <name val="Arial"/>
      <i val="1"/>
      <color rgb="FF744210"/>
      <sz val="9"/>
    </font>
    <font>
      <name val="Arial"/>
      <color rgb="001A6FA8"/>
      <sz val="9"/>
      <u val="single"/>
    </font>
    <font>
      <name val="Arial"/>
      <i val="1"/>
      <color rgb="00744210"/>
      <sz val="9"/>
    </font>
  </fonts>
  <fills count="20">
    <fill>
      <patternFill/>
    </fill>
    <fill>
      <patternFill patternType="gray125"/>
    </fill>
    <fill>
      <patternFill patternType="solid">
        <fgColor rgb="FF1A3A5C"/>
      </patternFill>
    </fill>
    <fill>
      <patternFill patternType="solid">
        <fgColor rgb="FF1A6FA8"/>
      </patternFill>
    </fill>
    <fill>
      <patternFill patternType="solid">
        <fgColor rgb="FF744210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EEEEE"/>
      </bottom>
      <diagonal/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left" vertical="center"/>
    </xf>
    <xf numFmtId="0" fontId="6" fillId="6" borderId="3" applyAlignment="1" pivotButton="0" quotePrefix="0" xfId="0">
      <alignment horizontal="left" vertical="center"/>
    </xf>
    <xf numFmtId="0" fontId="5" fillId="8" borderId="3" applyAlignment="1" pivotButton="0" quotePrefix="0" xfId="0">
      <alignment horizontal="left" vertical="center"/>
    </xf>
    <xf numFmtId="0" fontId="7" fillId="9" borderId="3" applyAlignment="1" pivotButton="0" quotePrefix="0" xfId="0">
      <alignment horizontal="left" vertical="center"/>
    </xf>
    <xf numFmtId="0" fontId="5" fillId="10" borderId="3" applyAlignment="1" pivotButton="0" quotePrefix="0" xfId="0">
      <alignment horizontal="left" vertical="center"/>
    </xf>
    <xf numFmtId="0" fontId="6" fillId="10" borderId="3" applyAlignment="1" pivotButton="0" quotePrefix="0" xfId="0">
      <alignment horizontal="left" vertical="center"/>
    </xf>
    <xf numFmtId="0" fontId="5" fillId="11" borderId="3" applyAlignment="1" pivotButton="0" quotePrefix="0" xfId="0">
      <alignment horizontal="left" vertical="center"/>
    </xf>
    <xf numFmtId="0" fontId="7" fillId="12" borderId="3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14" fontId="5" fillId="11" borderId="3" applyAlignment="1" pivotButton="0" quotePrefix="0" xfId="0">
      <alignment horizontal="left" vertical="center"/>
    </xf>
    <xf numFmtId="0" fontId="5" fillId="13" borderId="4" applyAlignment="1" pivotButton="0" quotePrefix="0" xfId="0">
      <alignment horizontal="left" vertical="center"/>
    </xf>
    <xf numFmtId="0" fontId="5" fillId="14" borderId="4" applyAlignment="1" pivotButton="0" quotePrefix="0" xfId="0">
      <alignment horizontal="left" vertical="center"/>
    </xf>
    <xf numFmtId="0" fontId="8" fillId="13" borderId="4" applyAlignment="1" pivotButton="0" quotePrefix="0" xfId="0">
      <alignment horizontal="left" vertical="center"/>
    </xf>
    <xf numFmtId="0" fontId="5" fillId="15" borderId="4" applyAlignment="1" pivotButton="0" quotePrefix="0" xfId="0">
      <alignment horizontal="left" vertical="center"/>
    </xf>
    <xf numFmtId="0" fontId="9" fillId="16" borderId="4" applyAlignment="1" pivotButton="0" quotePrefix="0" xfId="0">
      <alignment horizontal="left" vertical="center"/>
    </xf>
    <xf numFmtId="0" fontId="5" fillId="17" borderId="4" applyAlignment="1" pivotButton="0" quotePrefix="0" xfId="0">
      <alignment horizontal="left" vertical="center"/>
    </xf>
    <xf numFmtId="0" fontId="8" fillId="17" borderId="4" applyAlignment="1" pivotButton="0" quotePrefix="0" xfId="0">
      <alignment horizontal="left" vertical="center"/>
    </xf>
    <xf numFmtId="0" fontId="5" fillId="18" borderId="4" applyAlignment="1" pivotButton="0" quotePrefix="0" xfId="0">
      <alignment horizontal="left" vertical="center"/>
    </xf>
    <xf numFmtId="0" fontId="9" fillId="19" borderId="4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land/ad/5629561012?se=fmxHK1UK8RGOErafwVY7NA&amp;utm_medium=api&amp;utm_source=692fc859&amp;v=F79A8B1B462B7AF0E7E692D11BDDAC9F553CB3EA" TargetMode="External" Id="rId1"/><Relationship Type="http://schemas.openxmlformats.org/officeDocument/2006/relationships/hyperlink" Target="https://www.adzuna.co.uk/jobs/details/5626297667?utm_medium=api&amp;utm_source=692fc859" TargetMode="External" Id="rId2"/><Relationship Type="http://schemas.openxmlformats.org/officeDocument/2006/relationships/hyperlink" Target="https://www.adzuna.co.uk/jobs/land/ad/5626149488?se=fmxHK1UK8RGOErafwVY7NA&amp;utm_medium=api&amp;utm_source=692fc859&amp;v=63466D83EA2F23E3F27982B5BE332058547EB983" TargetMode="External" Id="rId3"/><Relationship Type="http://schemas.openxmlformats.org/officeDocument/2006/relationships/hyperlink" Target="https://www.adzuna.co.uk/jobs/details/5605926935?utm_medium=api&amp;utm_source=692fc859" TargetMode="External" Id="rId4"/><Relationship Type="http://schemas.openxmlformats.org/officeDocument/2006/relationships/hyperlink" Target="https://www.adzuna.co.uk/jobs/details/5605926933?utm_medium=api&amp;utm_source=692fc859" TargetMode="External" Id="rId5"/><Relationship Type="http://schemas.openxmlformats.org/officeDocument/2006/relationships/hyperlink" Target="https://www.adzuna.co.uk/jobs/details/5628154572?utm_medium=api&amp;utm_source=692fc859" TargetMode="External" Id="rId6"/><Relationship Type="http://schemas.openxmlformats.org/officeDocument/2006/relationships/hyperlink" Target="https://www.adzuna.co.uk/jobs/details/5612533322?utm_medium=api&amp;utm_source=692fc859" TargetMode="External" Id="rId7"/><Relationship Type="http://schemas.openxmlformats.org/officeDocument/2006/relationships/hyperlink" Target="https://www.adzuna.co.uk/jobs/land/ad/5468453312?se=ztylKlUK8RGOErafwVY7NA&amp;utm_medium=api&amp;utm_source=692fc859&amp;v=CC5DA681ACAC396A39B0E81EC9DDF6381532F02F" TargetMode="External" Id="rId8"/><Relationship Type="http://schemas.openxmlformats.org/officeDocument/2006/relationships/hyperlink" Target="https://www.adzuna.co.uk/jobs/land/ad/5595589363?se=umMUK1UK8RGQH41Ys9a60Q&amp;utm_medium=api&amp;utm_source=692fc859&amp;v=4A41C88AD6103493163A3AC4EB35F7BF7BC6974F" TargetMode="External" Id="rId9"/><Relationship Type="http://schemas.openxmlformats.org/officeDocument/2006/relationships/hyperlink" Target="https://www.adzuna.co.uk/jobs/land/ad/5578524719?se=fmxHK1UK8RGOErafwVY7NA&amp;utm_medium=api&amp;utm_source=692fc859&amp;v=AE9A923B32A5FA30559220FF479F17A4E8ED4614" TargetMode="External" Id="rId10"/><Relationship Type="http://schemas.openxmlformats.org/officeDocument/2006/relationships/hyperlink" Target="https://www.adzuna.co.uk/jobs/land/ad/5578522778?se=fmxHK1UK8RGOErafwVY7NA&amp;utm_medium=api&amp;utm_source=692fc859&amp;v=2B63AB4E71472079693B0EA98F003129F76268E4" TargetMode="External" Id="rId11"/><Relationship Type="http://schemas.openxmlformats.org/officeDocument/2006/relationships/hyperlink" Target="https://www.adzuna.co.uk/jobs/details/5606871514?utm_medium=api&amp;utm_source=692fc859" TargetMode="External" Id="rId12"/><Relationship Type="http://schemas.openxmlformats.org/officeDocument/2006/relationships/hyperlink" Target="https://www.adzuna.co.uk/jobs/details/5606871512?utm_medium=api&amp;utm_source=692fc859" TargetMode="External" Id="rId13"/><Relationship Type="http://schemas.openxmlformats.org/officeDocument/2006/relationships/hyperlink" Target="https://www.adzuna.co.uk/jobs/details/5606181785?utm_medium=api&amp;utm_source=692fc859" TargetMode="External" Id="rId14"/><Relationship Type="http://schemas.openxmlformats.org/officeDocument/2006/relationships/hyperlink" Target="https://www.adzuna.co.uk/jobs/details/5604386842?utm_medium=api&amp;utm_source=692fc859" TargetMode="External" Id="rId15"/><Relationship Type="http://schemas.openxmlformats.org/officeDocument/2006/relationships/hyperlink" Target="https://www.adzuna.co.uk/jobs/details/5604386841?utm_medium=api&amp;utm_source=692fc859" TargetMode="External" Id="rId16"/><Relationship Type="http://schemas.openxmlformats.org/officeDocument/2006/relationships/hyperlink" Target="https://www.adzuna.co.uk/jobs/details/5604386848?utm_medium=api&amp;utm_source=692fc859" TargetMode="External" Id="rId17"/><Relationship Type="http://schemas.openxmlformats.org/officeDocument/2006/relationships/hyperlink" Target="https://www.adzuna.co.uk/jobs/details/5606116497?utm_medium=api&amp;utm_source=692fc859" TargetMode="External" Id="rId18"/><Relationship Type="http://schemas.openxmlformats.org/officeDocument/2006/relationships/hyperlink" Target="https://www.adzuna.co.uk/jobs/details/5628754871?utm_medium=api&amp;utm_source=692fc859" TargetMode="External" Id="rId19"/><Relationship Type="http://schemas.openxmlformats.org/officeDocument/2006/relationships/hyperlink" Target="https://www.adzuna.co.uk/jobs/land/ad/5627673956?se=ztylKlUK8RGOErafwVY7NA&amp;utm_medium=api&amp;utm_source=692fc859&amp;v=8944E51E36D223DD9CC5C86EC90217E6931F7085" TargetMode="External" Id="rId20"/><Relationship Type="http://schemas.openxmlformats.org/officeDocument/2006/relationships/hyperlink" Target="https://www.adzuna.co.uk/jobs/details/5628174989?utm_medium=api&amp;utm_source=692fc859" TargetMode="External" Id="rId21"/><Relationship Type="http://schemas.openxmlformats.org/officeDocument/2006/relationships/hyperlink" Target="https://www.adzuna.co.uk/jobs/land/ad/5630825253?se=ICG5W38K8RGQH41Ys9a60Q&amp;utm_medium=api&amp;utm_source=692fc859&amp;v=E058B3AAAB97218D4C25AAC1D1C221E0A18E32A8" TargetMode="External" Id="rId22"/><Relationship Type="http://schemas.openxmlformats.org/officeDocument/2006/relationships/hyperlink" Target="https://www.adzuna.co.uk/jobs/details/5629763392?utm_medium=api&amp;utm_source=692fc859" TargetMode="External" Id="rId23"/><Relationship Type="http://schemas.openxmlformats.org/officeDocument/2006/relationships/hyperlink" Target="https://www.adzuna.co.uk/jobs/details/5628179328?utm_medium=api&amp;utm_source=692fc859" TargetMode="External" Id="rId24"/><Relationship Type="http://schemas.openxmlformats.org/officeDocument/2006/relationships/hyperlink" Target="https://www.adzuna.co.uk/jobs/details/5628173244?utm_medium=api&amp;utm_source=692fc859" TargetMode="External" Id="rId25"/><Relationship Type="http://schemas.openxmlformats.org/officeDocument/2006/relationships/hyperlink" Target="https://www.adzuna.co.uk/jobs/land/ad/5623289516?se=ICG5W38K8RGQH41Ys9a60Q&amp;utm_medium=api&amp;utm_source=692fc859&amp;v=98200F0B35303F28F251B98B751C047455FED739" TargetMode="External" Id="rId26"/><Relationship Type="http://schemas.openxmlformats.org/officeDocument/2006/relationships/hyperlink" Target="https://www.adzuna.co.uk/jobs/details/5612525275?utm_medium=api&amp;utm_source=692fc859" TargetMode="External" Id="rId27"/><Relationship Type="http://schemas.openxmlformats.org/officeDocument/2006/relationships/hyperlink" Target="https://www.adzuna.co.uk/jobs/land/ad/5611857772?se=ICG5W38K8RGQH41Ys9a60Q&amp;utm_medium=api&amp;utm_source=692fc859&amp;v=130876FB58DBE4C06CC55F5D45A403BEBDC0F694" TargetMode="External" Id="rId28"/><Relationship Type="http://schemas.openxmlformats.org/officeDocument/2006/relationships/hyperlink" Target="https://www.adzuna.co.uk/jobs/details/5610948783?utm_medium=api&amp;utm_source=692fc859" TargetMode="External" Id="rId29"/><Relationship Type="http://schemas.openxmlformats.org/officeDocument/2006/relationships/hyperlink" Target="https://www.adzuna.co.uk/jobs/land/ad/5610360968?se=ICG5W38K8RGQH41Ys9a60Q&amp;utm_medium=api&amp;utm_source=692fc859&amp;v=6044C924BA29D273411603212A23185D84DB2BC3" TargetMode="External" Id="rId30"/><Relationship Type="http://schemas.openxmlformats.org/officeDocument/2006/relationships/hyperlink" Target="https://www.adzuna.co.uk/jobs/details/5608180253?utm_medium=api&amp;utm_source=692fc859" TargetMode="External" Id="rId31"/><Relationship Type="http://schemas.openxmlformats.org/officeDocument/2006/relationships/hyperlink" Target="https://www.adzuna.co.uk/jobs/land/ad/5608091962?se=ICG5W38K8RGQH41Ys9a60Q&amp;utm_medium=api&amp;utm_source=692fc859&amp;v=FBCBA37B8B4E1F3743F8FE44FAA4986D0567BC6C" TargetMode="External" Id="rId32"/><Relationship Type="http://schemas.openxmlformats.org/officeDocument/2006/relationships/hyperlink" Target="https://www.adzuna.co.uk/jobs/land/ad/5608088971?se=ICG5W38K8RGQH41Ys9a60Q&amp;utm_medium=api&amp;utm_source=692fc859&amp;v=62B68C474DF68902E352B0D967C930F235A5C69E" TargetMode="External" Id="rId33"/><Relationship Type="http://schemas.openxmlformats.org/officeDocument/2006/relationships/hyperlink" Target="https://www.adzuna.co.uk/jobs/land/ad/5468453312?se=nvTcWX8K8RGbzfd7K5QMXQ&amp;utm_medium=api&amp;utm_source=692fc859&amp;v=CC5DA681ACAC396A39B0E81EC9DDF6381532F02F" TargetMode="External" Id="rId34"/><Relationship Type="http://schemas.openxmlformats.org/officeDocument/2006/relationships/hyperlink" Target="https://www.adzuna.co.uk/jobs/land/ad/5595589363?se=zJo_Wn8K8RGbzfd7K5QMXQ&amp;utm_medium=api&amp;utm_source=692fc859&amp;v=4A41C88AD6103493163A3AC4EB35F7BF7BC6974F" TargetMode="External" Id="rId35"/><Relationship Type="http://schemas.openxmlformats.org/officeDocument/2006/relationships/hyperlink" Target="https://www.adzuna.co.uk/jobs/land/ad/5578524719?se=fMRvWn8K8RGbzfd7K5QMXQ&amp;utm_medium=api&amp;utm_source=692fc859&amp;v=AE9A923B32A5FA30559220FF479F17A4E8ED4614" TargetMode="External" Id="rId36"/><Relationship Type="http://schemas.openxmlformats.org/officeDocument/2006/relationships/hyperlink" Target="https://www.adzuna.co.uk/jobs/land/ad/5578522778?se=fMRvWn8K8RGbzfd7K5QMXQ&amp;utm_medium=api&amp;utm_source=692fc859&amp;v=2B63AB4E71472079693B0EA98F003129F76268E4" TargetMode="External" Id="rId37"/><Relationship Type="http://schemas.openxmlformats.org/officeDocument/2006/relationships/hyperlink" Target="https://www.adzuna.co.uk/jobs/land/ad/5630216276?se=ICG5W38K8RGQH41Ys9a60Q&amp;utm_medium=api&amp;utm_source=692fc859&amp;v=E2B0B3223996DA418DB8A2043C6141AAD459DD18" TargetMode="External" Id="rId38"/><Relationship Type="http://schemas.openxmlformats.org/officeDocument/2006/relationships/hyperlink" Target="https://www.adzuna.co.uk/jobs/details/5628174979?utm_medium=api&amp;utm_source=692fc859" TargetMode="External" Id="rId39"/><Relationship Type="http://schemas.openxmlformats.org/officeDocument/2006/relationships/hyperlink" Target="https://www.adzuna.co.uk/jobs/details/5628154447?utm_medium=api&amp;utm_source=692fc859" TargetMode="External" Id="rId40"/><Relationship Type="http://schemas.openxmlformats.org/officeDocument/2006/relationships/hyperlink" Target="https://www.adzuna.co.uk/jobs/details/5625117951?utm_medium=api&amp;utm_source=692fc859" TargetMode="External" Id="rId41"/><Relationship Type="http://schemas.openxmlformats.org/officeDocument/2006/relationships/hyperlink" Target="https://www.adzuna.co.uk/jobs/land/ad/5624541173?se=ICG5W38K8RGQH41Ys9a60Q&amp;utm_medium=api&amp;utm_source=692fc859&amp;v=C0821D1D264CFEEC4F896CCBB9188C4AEBC1A135" TargetMode="External" Id="rId42"/><Relationship Type="http://schemas.openxmlformats.org/officeDocument/2006/relationships/hyperlink" Target="https://www.adzuna.co.uk/jobs/details/5623364427?utm_medium=api&amp;utm_source=692fc859" TargetMode="External" Id="rId43"/><Relationship Type="http://schemas.openxmlformats.org/officeDocument/2006/relationships/hyperlink" Target="https://www.adzuna.co.uk/jobs/land/ad/5616276965?se=ICG5W38K8RGQH41Ys9a60Q&amp;utm_medium=api&amp;utm_source=692fc859&amp;v=4E86DEA483ABEF59DA211FFB38EF1CBD155B0D24" TargetMode="External" Id="rId44"/><Relationship Type="http://schemas.openxmlformats.org/officeDocument/2006/relationships/hyperlink" Target="https://www.adzuna.co.uk/jobs/land/ad/5627673956?se=nvTcWX8K8RGbzfd7K5QMXQ&amp;utm_medium=api&amp;utm_source=692fc859&amp;v=8944E51E36D223DD9CC5C86EC90217E6931F7085" TargetMode="External" Id="rId45"/><Relationship Type="http://schemas.openxmlformats.org/officeDocument/2006/relationships/hyperlink" Target="https://www.adzuna.co.uk/jobs/details/5605400521?utm_medium=api&amp;utm_source=692fc859" TargetMode="External" Id="rId46"/><Relationship Type="http://schemas.openxmlformats.org/officeDocument/2006/relationships/hyperlink" Target="https://www.adzuna.co.uk/jobs/details/5605400525?utm_medium=api&amp;utm_source=692fc859" TargetMode="External" Id="rId47"/><Relationship Type="http://schemas.openxmlformats.org/officeDocument/2006/relationships/hyperlink" Target="https://www.adzuna.co.uk/jobs/details/5605400523?utm_medium=api&amp;utm_source=692fc859" TargetMode="External" Id="rId48"/><Relationship Type="http://schemas.openxmlformats.org/officeDocument/2006/relationships/hyperlink" Target="https://www.adzuna.co.uk/jobs/details/5604025231?utm_medium=api&amp;utm_source=692fc859" TargetMode="External" Id="rId49"/><Relationship Type="http://schemas.openxmlformats.org/officeDocument/2006/relationships/hyperlink" Target="https://www.adzuna.co.uk/jobs/details/5604025262?utm_medium=api&amp;utm_source=692fc859" TargetMode="External" Id="rId50"/><Relationship Type="http://schemas.openxmlformats.org/officeDocument/2006/relationships/hyperlink" Target="https://www.adzuna.co.uk/jobs/details/5572619977?utm_medium=api&amp;utm_source=692fc859" TargetMode="External" Id="rId51"/><Relationship Type="http://schemas.openxmlformats.org/officeDocument/2006/relationships/hyperlink" Target="https://www.adzuna.co.uk/jobs/details/5510353844?utm_medium=api&amp;utm_source=692fc859" TargetMode="External" Id="rId52"/><Relationship Type="http://schemas.openxmlformats.org/officeDocument/2006/relationships/hyperlink" Target="https://www.adzuna.co.uk/jobs/details/5617346590?utm_medium=api&amp;utm_source=692fc859" TargetMode="External" Id="rId53"/><Relationship Type="http://schemas.openxmlformats.org/officeDocument/2006/relationships/hyperlink" Target="https://www.adzuna.co.uk/jobs/land/ad/5615410978?se=6PyNW38K8RGOErafwVY7NA&amp;utm_medium=api&amp;utm_source=692fc859&amp;v=9505998CE5970D1117B9EFD76B238DCD71061A83" TargetMode="External" Id="rId54"/><Relationship Type="http://schemas.openxmlformats.org/officeDocument/2006/relationships/hyperlink" Target="https://www.adzuna.co.uk/jobs/land/ad/5627673956?se=ICG5W38K8RGQH41Ys9a60Q&amp;utm_medium=api&amp;utm_source=692fc859&amp;v=8944E51E36D223DD9CC5C86EC90217E6931F7085" TargetMode="External" Id="rId55"/><Relationship Type="http://schemas.openxmlformats.org/officeDocument/2006/relationships/hyperlink" Target="https://www.adzuna.co.uk/jobs/land/ad/5618834385?se=ICG5W38K8RGQH41Ys9a60Q&amp;utm_medium=api&amp;utm_source=692fc859&amp;v=A637DAA816CE299E6E02E7637E03DC1AF53ED3F4" TargetMode="External" Id="rId56"/><Relationship Type="http://schemas.openxmlformats.org/officeDocument/2006/relationships/hyperlink" Target="https://www.adzuna.co.uk/jobs/details/5612530003?utm_medium=api&amp;utm_source=692fc859" TargetMode="External" Id="rId57"/><Relationship Type="http://schemas.openxmlformats.org/officeDocument/2006/relationships/hyperlink" Target="https://www.adzuna.co.uk/jobs/details/5612422731?utm_medium=api&amp;utm_source=692fc859" TargetMode="External" Id="rId58"/><Relationship Type="http://schemas.openxmlformats.org/officeDocument/2006/relationships/hyperlink" Target="https://www.adzuna.co.uk/jobs/details/5628754738?utm_medium=api&amp;utm_source=692fc859" TargetMode="External" Id="rId59"/><Relationship Type="http://schemas.openxmlformats.org/officeDocument/2006/relationships/hyperlink" Target="https://www.adzuna.co.uk/jobs/details/5628169321?utm_medium=api&amp;utm_source=692fc859" TargetMode="External" Id="rId60"/><Relationship Type="http://schemas.openxmlformats.org/officeDocument/2006/relationships/hyperlink" Target="https://www.adzuna.co.uk/jobs/land/ad/5606113599?se=nvTcWX8K8RGbzfd7K5QMXQ&amp;utm_medium=api&amp;utm_source=692fc859&amp;v=A39E231977877CB4937B4F4986DAE4F154F74473" TargetMode="External" Id="rId61"/><Relationship Type="http://schemas.openxmlformats.org/officeDocument/2006/relationships/hyperlink" Target="https://www.adzuna.co.uk/jobs/details/5629611989?utm_medium=api&amp;utm_source=692fc859" TargetMode="External" Id="rId62"/><Relationship Type="http://schemas.openxmlformats.org/officeDocument/2006/relationships/hyperlink" Target="https://www.adzuna.co.uk/jobs/land/ad/5614734735?se=tN-eWn8K8RGOErafwVY7NA&amp;utm_medium=api&amp;utm_source=692fc859&amp;v=51E648C18AFA7E4DD0043D447E30701B7268A753" TargetMode="External" Id="rId63"/><Relationship Type="http://schemas.openxmlformats.org/officeDocument/2006/relationships/hyperlink" Target="https://www.adzuna.co.uk/jobs/land/ad/5614429974?se=tN-eWn8K8RGOErafwVY7NA&amp;utm_medium=api&amp;utm_source=692fc859&amp;v=E26139B772A201AA49B27089436520E6D59375F3" TargetMode="External" Id="rId64"/><Relationship Type="http://schemas.openxmlformats.org/officeDocument/2006/relationships/hyperlink" Target="https://www.adzuna.co.uk/jobs/land/ad/5599986097?se=tN-eWn8K8RGOErafwVY7NA&amp;utm_medium=api&amp;utm_source=692fc859&amp;v=88E8789E530801E70113A2C80385AF9F970A5C04" TargetMode="External" Id="rId65"/><Relationship Type="http://schemas.openxmlformats.org/officeDocument/2006/relationships/hyperlink" Target="https://www.adzuna.co.uk/jobs/land/ad/5597196250?se=tN-eWn8K8RGOErafwVY7NA&amp;utm_medium=api&amp;utm_source=692fc859&amp;v=39345909594DA981270C25E79B40220B5F761EB1" TargetMode="External" Id="rId6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7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L8" sqref="L8"/>
    </sheetView>
  </sheetViews>
  <sheetFormatPr baseColWidth="8" defaultRowHeight="15"/>
  <cols>
    <col hidden="1" width="14" customWidth="1" style="18" min="1" max="1"/>
    <col width="13" customWidth="1" style="18" min="2" max="2"/>
    <col width="32" customWidth="1" style="18" min="3" max="3"/>
    <col width="24" customWidth="1" style="18" min="4" max="4"/>
    <col width="20" customWidth="1" style="18" min="5" max="6"/>
    <col width="13" customWidth="1" style="18" min="7" max="7"/>
    <col width="18" customWidth="1" style="18" min="8" max="8"/>
    <col width="7" customWidth="1" style="18" min="9" max="9"/>
    <col width="45" customWidth="1" style="18" min="10" max="10"/>
    <col width="11" customWidth="1" style="18" min="11" max="11"/>
    <col width="14" customWidth="1" style="18" min="12" max="12"/>
    <col width="20" customWidth="1" style="18" min="13" max="13"/>
    <col width="40" customWidth="1" style="18" min="14" max="14"/>
    <col width="30" customWidth="1" style="18" min="15" max="15"/>
  </cols>
  <sheetData>
    <row r="1" ht="32.1" customHeight="1" s="18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 ht="15.95" customHeight="1" s="18">
      <c r="A2" s="8" t="inlineStr">
        <is>
          <t>91f378388bbb</t>
        </is>
      </c>
      <c r="B2" s="8" t="inlineStr">
        <is>
          <t>15/02/2026</t>
        </is>
      </c>
      <c r="C2" s="8" t="inlineStr">
        <is>
          <t>Water Engineer/Hydraulic Modeller</t>
        </is>
      </c>
      <c r="D2" s="8" t="inlineStr">
        <is>
          <t>ALDWYCH CONSULTING LTD</t>
        </is>
      </c>
      <c r="E2" s="8" t="inlineStr">
        <is>
          <t>South East London, London</t>
        </is>
      </c>
      <c r="F2" s="8" t="inlineStr">
        <is>
          <t>£45,000 – £45,000</t>
        </is>
      </c>
      <c r="G2" s="8" t="inlineStr">
        <is>
          <t>Adzuna UK</t>
        </is>
      </c>
      <c r="H2" s="9" t="inlineStr">
        <is>
          <t>CONFIRMED</t>
        </is>
      </c>
      <c r="I2" s="8" t="n">
        <v>80</v>
      </c>
      <c r="J2" s="10" t="inlineStr">
        <is>
          <t>Apply Here</t>
        </is>
      </c>
      <c r="K2" s="11" t="inlineStr">
        <is>
          <t>No</t>
        </is>
      </c>
      <c r="L2" s="11" t="n"/>
      <c r="M2" s="11" t="inlineStr">
        <is>
          <t>Pending</t>
        </is>
      </c>
      <c r="N2" s="12" t="inlineStr">
        <is>
          <t>Too senior / overqualified</t>
        </is>
      </c>
      <c r="O2" s="11" t="inlineStr">
        <is>
          <t>5-8 years of experience</t>
        </is>
      </c>
    </row>
    <row r="3" ht="15.95" customHeight="1" s="18">
      <c r="A3" s="13" t="inlineStr">
        <is>
          <t>33d1e821e300</t>
        </is>
      </c>
      <c r="B3" s="13" t="inlineStr">
        <is>
          <t>15/02/2026</t>
        </is>
      </c>
      <c r="C3" s="13" t="inlineStr">
        <is>
          <t>Water Engineer/Hydraulic Modeller</t>
        </is>
      </c>
      <c r="D3" s="13" t="inlineStr">
        <is>
          <t>Aldwych Consulting Ltd</t>
        </is>
      </c>
      <c r="E3" s="13" t="inlineStr">
        <is>
          <t>London, UK</t>
        </is>
      </c>
      <c r="F3" s="13" t="inlineStr">
        <is>
          <t>£40,000 – £48,000</t>
        </is>
      </c>
      <c r="G3" s="13" t="inlineStr">
        <is>
          <t>Adzuna UK</t>
        </is>
      </c>
      <c r="H3" s="9" t="inlineStr">
        <is>
          <t>CONFIRMED</t>
        </is>
      </c>
      <c r="I3" s="13" t="n">
        <v>80</v>
      </c>
      <c r="J3" s="14" t="inlineStr">
        <is>
          <t>Apply Here</t>
        </is>
      </c>
      <c r="K3" s="15" t="inlineStr">
        <is>
          <t>No</t>
        </is>
      </c>
      <c r="L3" s="15" t="n"/>
      <c r="M3" s="15" t="inlineStr">
        <is>
          <t>Pending</t>
        </is>
      </c>
      <c r="N3" s="16" t="inlineStr">
        <is>
          <t>Duplicate / already applied</t>
        </is>
      </c>
      <c r="O3" s="15" t="inlineStr">
        <is>
          <t>Same as the role in previous row</t>
        </is>
      </c>
    </row>
    <row r="4" ht="15.95" customHeight="1" s="18">
      <c r="A4" s="8" t="inlineStr">
        <is>
          <t>12d728954ff6</t>
        </is>
      </c>
      <c r="B4" s="8" t="inlineStr">
        <is>
          <t>15/02/2026</t>
        </is>
      </c>
      <c r="C4" s="8" t="inlineStr">
        <is>
          <t>Water Engineer/Hydraulic Modeller</t>
        </is>
      </c>
      <c r="D4" s="8" t="inlineStr">
        <is>
          <t>Aldwych Consulting</t>
        </is>
      </c>
      <c r="E4" s="8" t="inlineStr">
        <is>
          <t>Farringdon, Central London</t>
        </is>
      </c>
      <c r="F4" s="8" t="inlineStr">
        <is>
          <t>£40,000 – £48,000</t>
        </is>
      </c>
      <c r="G4" s="8" t="inlineStr">
        <is>
          <t>Adzuna UK</t>
        </is>
      </c>
      <c r="H4" s="9" t="inlineStr">
        <is>
          <t>CONFIRMED</t>
        </is>
      </c>
      <c r="I4" s="8" t="n">
        <v>80</v>
      </c>
      <c r="J4" s="10" t="inlineStr">
        <is>
          <t>Apply Here</t>
        </is>
      </c>
      <c r="K4" s="11" t="inlineStr">
        <is>
          <t>No</t>
        </is>
      </c>
      <c r="L4" s="11" t="n"/>
      <c r="M4" s="11" t="inlineStr">
        <is>
          <t>Pending</t>
        </is>
      </c>
      <c r="N4" s="12" t="inlineStr">
        <is>
          <t>Duplicate / already applied</t>
        </is>
      </c>
      <c r="O4" s="15" t="inlineStr">
        <is>
          <t>Same as the role in previous row</t>
        </is>
      </c>
    </row>
    <row r="5" ht="15.95" customHeight="1" s="18">
      <c r="A5" s="13" t="inlineStr">
        <is>
          <t>0034bed26e43</t>
        </is>
      </c>
      <c r="B5" s="13" t="inlineStr">
        <is>
          <t>15/02/2026</t>
        </is>
      </c>
      <c r="C5" s="13" t="inlineStr">
        <is>
          <t>Senior Civil Engineer, Water</t>
        </is>
      </c>
      <c r="D5" s="13" t="inlineStr">
        <is>
          <t>AECOM</t>
        </is>
      </c>
      <c r="E5" s="13" t="inlineStr">
        <is>
          <t>St. Albans, Hertfordshire</t>
        </is>
      </c>
      <c r="F5" s="13" t="inlineStr">
        <is>
          <t>£42,509 – £42,509</t>
        </is>
      </c>
      <c r="G5" s="13" t="inlineStr">
        <is>
          <t>Adzuna UK</t>
        </is>
      </c>
      <c r="H5" s="9" t="inlineStr">
        <is>
          <t>CONFIRMED</t>
        </is>
      </c>
      <c r="I5" s="13" t="n">
        <v>80</v>
      </c>
      <c r="J5" s="14" t="inlineStr">
        <is>
          <t>Apply Here</t>
        </is>
      </c>
      <c r="K5" s="15" t="inlineStr">
        <is>
          <t>No</t>
        </is>
      </c>
      <c r="L5" s="15" t="n"/>
      <c r="M5" s="15" t="inlineStr">
        <is>
          <t>Pending</t>
        </is>
      </c>
      <c r="N5" s="16" t="inlineStr">
        <is>
          <t>Other</t>
        </is>
      </c>
      <c r="O5" s="15" t="inlineStr">
        <is>
          <t>Vacency closed</t>
        </is>
      </c>
    </row>
    <row r="6" ht="15.95" customHeight="1" s="18">
      <c r="A6" s="8" t="inlineStr">
        <is>
          <t>d0e6c96fa336</t>
        </is>
      </c>
      <c r="B6" s="8" t="inlineStr">
        <is>
          <t>15/02/2026</t>
        </is>
      </c>
      <c r="C6" s="8" t="inlineStr">
        <is>
          <t>Senior Civil Engineer, Water</t>
        </is>
      </c>
      <c r="D6" s="8" t="inlineStr">
        <is>
          <t>AECOM</t>
        </is>
      </c>
      <c r="E6" s="8" t="inlineStr">
        <is>
          <t>London, UK</t>
        </is>
      </c>
      <c r="F6" s="8" t="inlineStr">
        <is>
          <t>£43,633 – £43,633</t>
        </is>
      </c>
      <c r="G6" s="8" t="inlineStr">
        <is>
          <t>Adzuna UK</t>
        </is>
      </c>
      <c r="H6" s="9" t="inlineStr">
        <is>
          <t>CONFIRMED</t>
        </is>
      </c>
      <c r="I6" s="8" t="n">
        <v>80</v>
      </c>
      <c r="J6" s="10" t="inlineStr">
        <is>
          <t>Apply Here</t>
        </is>
      </c>
      <c r="K6" s="11" t="n"/>
      <c r="L6" s="11" t="n"/>
      <c r="M6" s="11" t="inlineStr">
        <is>
          <t>Pending</t>
        </is>
      </c>
      <c r="N6" s="12" t="n"/>
      <c r="O6" s="11" t="n"/>
    </row>
    <row r="7" ht="15.95" customHeight="1" s="18">
      <c r="A7" s="13" t="inlineStr">
        <is>
          <t>ee386e08a3ca</t>
        </is>
      </c>
      <c r="B7" s="13" t="inlineStr">
        <is>
          <t>15/02/2026</t>
        </is>
      </c>
      <c r="C7" s="13" t="inlineStr">
        <is>
          <t>Mechanical Design Engineer</t>
        </is>
      </c>
      <c r="D7" s="13" t="inlineStr">
        <is>
          <t>Thames Water</t>
        </is>
      </c>
      <c r="E7" s="13" t="inlineStr">
        <is>
          <t>Caversham, Reading</t>
        </is>
      </c>
      <c r="F7" s="13" t="inlineStr">
        <is>
          <t>£42,640 – £55,000</t>
        </is>
      </c>
      <c r="G7" s="13" t="inlineStr">
        <is>
          <t>Adzuna UK</t>
        </is>
      </c>
      <c r="H7" s="9" t="inlineStr">
        <is>
          <t>CONFIRMED</t>
        </is>
      </c>
      <c r="I7" s="13" t="n">
        <v>75</v>
      </c>
      <c r="J7" s="14" t="inlineStr">
        <is>
          <t>Apply Here</t>
        </is>
      </c>
      <c r="K7" s="15" t="inlineStr">
        <is>
          <t>No</t>
        </is>
      </c>
      <c r="L7" s="15" t="n"/>
      <c r="M7" s="15" t="inlineStr">
        <is>
          <t>Pending</t>
        </is>
      </c>
      <c r="N7" s="16" t="inlineStr">
        <is>
          <t>Other</t>
        </is>
      </c>
      <c r="O7" s="15" t="inlineStr">
        <is>
          <t>Does not sponser for the role</t>
        </is>
      </c>
    </row>
    <row r="8" ht="15.95" customHeight="1" s="18">
      <c r="A8" s="8" t="inlineStr">
        <is>
          <t>d578bc4c768f</t>
        </is>
      </c>
      <c r="B8" s="8" t="inlineStr">
        <is>
          <t>15/02/2026</t>
        </is>
      </c>
      <c r="C8" s="8" t="inlineStr">
        <is>
          <t>Mechanical Design Engineer</t>
        </is>
      </c>
      <c r="D8" s="8" t="inlineStr">
        <is>
          <t>Recruiter</t>
        </is>
      </c>
      <c r="E8" s="8" t="inlineStr">
        <is>
          <t>Reading, Berkshire</t>
        </is>
      </c>
      <c r="F8" s="8" t="inlineStr">
        <is>
          <t>£42,640 – £55,000</t>
        </is>
      </c>
      <c r="G8" s="8" t="inlineStr">
        <is>
          <t>Adzuna UK</t>
        </is>
      </c>
      <c r="H8" s="9" t="inlineStr">
        <is>
          <t>CONFIRMED</t>
        </is>
      </c>
      <c r="I8" s="8" t="n">
        <v>75</v>
      </c>
      <c r="J8" s="10" t="inlineStr">
        <is>
          <t>Apply Here</t>
        </is>
      </c>
      <c r="K8" s="11" t="inlineStr">
        <is>
          <t>No</t>
        </is>
      </c>
      <c r="L8" s="11" t="n"/>
      <c r="M8" s="11" t="inlineStr">
        <is>
          <t>Pending</t>
        </is>
      </c>
      <c r="N8" s="12" t="inlineStr">
        <is>
          <t>Other</t>
        </is>
      </c>
      <c r="O8" s="15" t="inlineStr">
        <is>
          <t>Vacency closed</t>
        </is>
      </c>
    </row>
    <row r="9" ht="15.95" customHeight="1" s="18">
      <c r="A9" s="13" t="inlineStr">
        <is>
          <t>9dc5b325f2eb</t>
        </is>
      </c>
      <c r="B9" s="13" t="inlineStr">
        <is>
          <t>15/02/2026</t>
        </is>
      </c>
      <c r="C9" s="13" t="inlineStr">
        <is>
          <t>Mechanical Design Engineer - Water</t>
        </is>
      </c>
      <c r="D9" s="13" t="inlineStr">
        <is>
          <t>SSA Recruitment</t>
        </is>
      </c>
      <c r="E9" s="13" t="inlineStr">
        <is>
          <t>West Hampstead, North West London</t>
        </is>
      </c>
      <c r="F9" s="13" t="inlineStr">
        <is>
          <t>£55,000 – £65,000</t>
        </is>
      </c>
      <c r="G9" s="13" t="inlineStr">
        <is>
          <t>Adzuna UK</t>
        </is>
      </c>
      <c r="H9" s="9" t="inlineStr">
        <is>
          <t>CONFIRMED</t>
        </is>
      </c>
      <c r="I9" s="13" t="n">
        <v>65</v>
      </c>
      <c r="J9" s="14" t="inlineStr">
        <is>
          <t>Apply Here</t>
        </is>
      </c>
      <c r="K9" s="15" t="n"/>
      <c r="L9" s="15" t="n"/>
      <c r="M9" s="15" t="inlineStr">
        <is>
          <t>Pending</t>
        </is>
      </c>
      <c r="N9" s="16" t="n"/>
      <c r="O9" s="15" t="n"/>
    </row>
    <row r="10" ht="15.95" customHeight="1" s="18">
      <c r="A10" s="8" t="inlineStr">
        <is>
          <t>aabe29c643e4</t>
        </is>
      </c>
      <c r="B10" s="8" t="inlineStr">
        <is>
          <t>15/02/2026</t>
        </is>
      </c>
      <c r="C10" s="8" t="inlineStr">
        <is>
          <t>Senior Water Network Engineer/Modellers</t>
        </is>
      </c>
      <c r="D10" s="8" t="inlineStr">
        <is>
          <t>Jacobs</t>
        </is>
      </c>
      <c r="E10" s="8" t="inlineStr">
        <is>
          <t>Reading, Berkshire</t>
        </is>
      </c>
      <c r="F10" s="8" t="inlineStr">
        <is>
          <t>£50,253 – £50,253</t>
        </is>
      </c>
      <c r="G10" s="8" t="inlineStr">
        <is>
          <t>Adzuna UK</t>
        </is>
      </c>
      <c r="H10" s="9" t="inlineStr">
        <is>
          <t>CONFIRMED</t>
        </is>
      </c>
      <c r="I10" s="8" t="n">
        <v>65</v>
      </c>
      <c r="J10" s="10" t="inlineStr">
        <is>
          <t>Apply Here</t>
        </is>
      </c>
      <c r="K10" s="11" t="n"/>
      <c r="L10" s="11" t="n"/>
      <c r="M10" s="11" t="inlineStr">
        <is>
          <t>Pending</t>
        </is>
      </c>
      <c r="N10" s="12" t="n"/>
      <c r="O10" s="11" t="n"/>
    </row>
    <row r="11" ht="15.95" customHeight="1" s="18">
      <c r="A11" s="13" t="inlineStr">
        <is>
          <t>c87e01af5979</t>
        </is>
      </c>
      <c r="B11" s="13" t="inlineStr">
        <is>
          <t>15/02/2026</t>
        </is>
      </c>
      <c r="C11" s="13" t="inlineStr">
        <is>
          <t>Hydraulics Engineers - UK Wide</t>
        </is>
      </c>
      <c r="D11" s="13" t="inlineStr">
        <is>
          <t>Jacobs</t>
        </is>
      </c>
      <c r="E11" s="13" t="inlineStr">
        <is>
          <t>Reading, Berkshire</t>
        </is>
      </c>
      <c r="F11" s="13" t="inlineStr">
        <is>
          <t>£48,252 – £48,252</t>
        </is>
      </c>
      <c r="G11" s="13" t="inlineStr">
        <is>
          <t>Adzuna UK</t>
        </is>
      </c>
      <c r="H11" s="9" t="inlineStr">
        <is>
          <t>CONFIRMED</t>
        </is>
      </c>
      <c r="I11" s="13" t="n">
        <v>65</v>
      </c>
      <c r="J11" s="14" t="inlineStr">
        <is>
          <t>Apply Here</t>
        </is>
      </c>
      <c r="K11" s="15" t="n"/>
      <c r="L11" s="15" t="n"/>
      <c r="M11" s="15" t="inlineStr">
        <is>
          <t>Pending</t>
        </is>
      </c>
      <c r="N11" s="16" t="n"/>
      <c r="O11" s="15" t="n"/>
    </row>
    <row r="12" ht="15.95" customHeight="1" s="18">
      <c r="A12" s="8" t="inlineStr">
        <is>
          <t>c43e11ff8ca9</t>
        </is>
      </c>
      <c r="B12" s="8" t="inlineStr">
        <is>
          <t>15/02/2026</t>
        </is>
      </c>
      <c r="C12" s="8" t="inlineStr">
        <is>
          <t>Hydraulics Engineers - UK Wide</t>
        </is>
      </c>
      <c r="D12" s="8" t="inlineStr">
        <is>
          <t>Jacobs</t>
        </is>
      </c>
      <c r="E12" s="8" t="inlineStr">
        <is>
          <t>London, UK</t>
        </is>
      </c>
      <c r="F12" s="8" t="inlineStr">
        <is>
          <t>£49,369 – £49,369</t>
        </is>
      </c>
      <c r="G12" s="8" t="inlineStr">
        <is>
          <t>Adzuna UK</t>
        </is>
      </c>
      <c r="H12" s="9" t="inlineStr">
        <is>
          <t>CONFIRMED</t>
        </is>
      </c>
      <c r="I12" s="8" t="n">
        <v>65</v>
      </c>
      <c r="J12" s="10" t="inlineStr">
        <is>
          <t>Apply Here</t>
        </is>
      </c>
      <c r="K12" s="11" t="n"/>
      <c r="L12" s="11" t="n"/>
      <c r="M12" s="11" t="inlineStr">
        <is>
          <t>Pending</t>
        </is>
      </c>
      <c r="N12" s="12" t="n"/>
      <c r="O12" s="11" t="n"/>
    </row>
    <row r="13" ht="15.95" customHeight="1" s="18">
      <c r="A13" s="13" t="inlineStr">
        <is>
          <t>554b6c540a31</t>
        </is>
      </c>
      <c r="B13" s="13" t="inlineStr">
        <is>
          <t>15/02/2026</t>
        </is>
      </c>
      <c r="C13" s="13" t="inlineStr">
        <is>
          <t>Civil Engineer - Water</t>
        </is>
      </c>
      <c r="D13" s="13" t="inlineStr">
        <is>
          <t>Stantec</t>
        </is>
      </c>
      <c r="E13" s="13" t="inlineStr">
        <is>
          <t>High Wycombe, Buckinghamshire</t>
        </is>
      </c>
      <c r="F13" s="13" t="inlineStr">
        <is>
          <t>£50,309 – £50,309</t>
        </is>
      </c>
      <c r="G13" s="13" t="inlineStr">
        <is>
          <t>Adzuna UK</t>
        </is>
      </c>
      <c r="H13" s="9" t="inlineStr">
        <is>
          <t>CONFIRMED</t>
        </is>
      </c>
      <c r="I13" s="13" t="n">
        <v>60</v>
      </c>
      <c r="J13" s="14" t="inlineStr">
        <is>
          <t>Apply Here</t>
        </is>
      </c>
      <c r="K13" s="15" t="inlineStr">
        <is>
          <t>Yes</t>
        </is>
      </c>
      <c r="L13" s="19" t="n">
        <v>46060</v>
      </c>
      <c r="M13" s="15" t="inlineStr">
        <is>
          <t>Rejected</t>
        </is>
      </c>
      <c r="N13" s="16" t="n"/>
      <c r="O13" s="15" t="n"/>
    </row>
    <row r="14" ht="15.95" customHeight="1" s="18">
      <c r="A14" s="8" t="inlineStr">
        <is>
          <t>6b5e6cd83ae0</t>
        </is>
      </c>
      <c r="B14" s="8" t="inlineStr">
        <is>
          <t>15/02/2026</t>
        </is>
      </c>
      <c r="C14" s="8" t="inlineStr">
        <is>
          <t>Civil Engineer - Water</t>
        </is>
      </c>
      <c r="D14" s="8" t="inlineStr">
        <is>
          <t>Stantec</t>
        </is>
      </c>
      <c r="E14" s="8" t="inlineStr">
        <is>
          <t>Reading, Berkshire</t>
        </is>
      </c>
      <c r="F14" s="8" t="inlineStr">
        <is>
          <t>£50,558 – £50,558</t>
        </is>
      </c>
      <c r="G14" s="8" t="inlineStr">
        <is>
          <t>Adzuna UK</t>
        </is>
      </c>
      <c r="H14" s="9" t="inlineStr">
        <is>
          <t>CONFIRMED</t>
        </is>
      </c>
      <c r="I14" s="8" t="n">
        <v>60</v>
      </c>
      <c r="J14" s="10" t="inlineStr">
        <is>
          <t>Apply Here</t>
        </is>
      </c>
      <c r="K14" s="11" t="inlineStr">
        <is>
          <t>No</t>
        </is>
      </c>
      <c r="L14" s="11" t="n"/>
      <c r="M14" s="11" t="inlineStr">
        <is>
          <t>Pending</t>
        </is>
      </c>
      <c r="N14" s="12" t="inlineStr">
        <is>
          <t>Duplicate / already applied</t>
        </is>
      </c>
      <c r="O14" s="15" t="inlineStr">
        <is>
          <t>Same as the role in previous row</t>
        </is>
      </c>
    </row>
    <row r="15" ht="15.95" customHeight="1" s="18">
      <c r="A15" s="13" t="inlineStr">
        <is>
          <t>1cbc31004a24</t>
        </is>
      </c>
      <c r="B15" s="13" t="inlineStr">
        <is>
          <t>15/02/2026</t>
        </is>
      </c>
      <c r="C15" s="13" t="inlineStr">
        <is>
          <t>Civil Engineer - Water</t>
        </is>
      </c>
      <c r="D15" s="13" t="inlineStr">
        <is>
          <t>Stantec UK</t>
        </is>
      </c>
      <c r="E15" s="13" t="inlineStr">
        <is>
          <t>Caversham, Reading</t>
        </is>
      </c>
      <c r="F15" s="13" t="inlineStr">
        <is>
          <t>£44,336 – £44,336</t>
        </is>
      </c>
      <c r="G15" s="13" t="inlineStr">
        <is>
          <t>Adzuna UK</t>
        </is>
      </c>
      <c r="H15" s="9" t="inlineStr">
        <is>
          <t>CONFIRMED</t>
        </is>
      </c>
      <c r="I15" s="13" t="n">
        <v>60</v>
      </c>
      <c r="J15" s="14" t="inlineStr">
        <is>
          <t>Apply Here</t>
        </is>
      </c>
      <c r="K15" s="15" t="inlineStr">
        <is>
          <t>No</t>
        </is>
      </c>
      <c r="L15" s="15" t="n"/>
      <c r="M15" s="15" t="inlineStr">
        <is>
          <t>Pending</t>
        </is>
      </c>
      <c r="N15" s="16" t="inlineStr">
        <is>
          <t>Duplicate / already applied</t>
        </is>
      </c>
      <c r="O15" s="15" t="inlineStr">
        <is>
          <t>Same as the role in previous row</t>
        </is>
      </c>
    </row>
    <row r="16" ht="15.95" customHeight="1" s="18">
      <c r="A16" s="8" t="inlineStr">
        <is>
          <t>42be6efe69a3</t>
        </is>
      </c>
      <c r="B16" s="8" t="inlineStr">
        <is>
          <t>15/02/2026</t>
        </is>
      </c>
      <c r="C16" s="8" t="inlineStr">
        <is>
          <t>Senior Mechanical Engineer - Water</t>
        </is>
      </c>
      <c r="D16" s="8" t="inlineStr">
        <is>
          <t>AECOM</t>
        </is>
      </c>
      <c r="E16" s="8" t="inlineStr">
        <is>
          <t>St. Albans, Hertfordshire</t>
        </is>
      </c>
      <c r="F16" s="8" t="inlineStr">
        <is>
          <t>£46,954 – £46,954</t>
        </is>
      </c>
      <c r="G16" s="8" t="inlineStr">
        <is>
          <t>Adzuna UK</t>
        </is>
      </c>
      <c r="H16" s="9" t="inlineStr">
        <is>
          <t>CONFIRMED</t>
        </is>
      </c>
      <c r="I16" s="8" t="n">
        <v>60</v>
      </c>
      <c r="J16" s="10" t="inlineStr">
        <is>
          <t>Apply Here</t>
        </is>
      </c>
      <c r="K16" s="11" t="n"/>
      <c r="L16" s="11" t="n"/>
      <c r="M16" s="11" t="inlineStr">
        <is>
          <t>Pending</t>
        </is>
      </c>
      <c r="N16" s="12" t="n"/>
      <c r="O16" s="11" t="n"/>
    </row>
    <row r="17" ht="15.95" customHeight="1" s="18">
      <c r="A17" s="13" t="inlineStr">
        <is>
          <t>2a82b73d433a</t>
        </is>
      </c>
      <c r="B17" s="13" t="inlineStr">
        <is>
          <t>15/02/2026</t>
        </is>
      </c>
      <c r="C17" s="13" t="inlineStr">
        <is>
          <t>Senior Mechanical Engineer - Water</t>
        </is>
      </c>
      <c r="D17" s="13" t="inlineStr">
        <is>
          <t>AECOM</t>
        </is>
      </c>
      <c r="E17" s="13" t="inlineStr">
        <is>
          <t>London, UK</t>
        </is>
      </c>
      <c r="F17" s="13" t="inlineStr">
        <is>
          <t>£47,744 – £47,744</t>
        </is>
      </c>
      <c r="G17" s="13" t="inlineStr">
        <is>
          <t>Adzuna UK</t>
        </is>
      </c>
      <c r="H17" s="9" t="inlineStr">
        <is>
          <t>CONFIRMED</t>
        </is>
      </c>
      <c r="I17" s="13" t="n">
        <v>60</v>
      </c>
      <c r="J17" s="14" t="inlineStr">
        <is>
          <t>Apply Here</t>
        </is>
      </c>
      <c r="K17" s="15" t="n"/>
      <c r="L17" s="15" t="n"/>
      <c r="M17" s="15" t="inlineStr">
        <is>
          <t>Pending</t>
        </is>
      </c>
      <c r="N17" s="16" t="n"/>
      <c r="O17" s="15" t="n"/>
    </row>
    <row r="18" ht="15.95" customHeight="1" s="18">
      <c r="A18" s="8" t="inlineStr">
        <is>
          <t>dfe15f60b7a2</t>
        </is>
      </c>
      <c r="B18" s="8" t="inlineStr">
        <is>
          <t>15/02/2026</t>
        </is>
      </c>
      <c r="C18" s="8" t="inlineStr">
        <is>
          <t>Senior Mechanical Engineer - Water</t>
        </is>
      </c>
      <c r="D18" s="8" t="inlineStr">
        <is>
          <t>AECOM</t>
        </is>
      </c>
      <c r="E18" s="8" t="inlineStr">
        <is>
          <t>Croydon, London</t>
        </is>
      </c>
      <c r="F18" s="8" t="inlineStr">
        <is>
          <t>£46,355 – £46,355</t>
        </is>
      </c>
      <c r="G18" s="8" t="inlineStr">
        <is>
          <t>Adzuna UK</t>
        </is>
      </c>
      <c r="H18" s="9" t="inlineStr">
        <is>
          <t>CONFIRMED</t>
        </is>
      </c>
      <c r="I18" s="8" t="n">
        <v>60</v>
      </c>
      <c r="J18" s="10" t="inlineStr">
        <is>
          <t>Apply Here</t>
        </is>
      </c>
      <c r="K18" s="11" t="n"/>
      <c r="L18" s="11" t="n"/>
      <c r="M18" s="11" t="inlineStr">
        <is>
          <t>Pending</t>
        </is>
      </c>
      <c r="N18" s="12" t="n"/>
      <c r="O18" s="11" t="n"/>
    </row>
    <row r="19" ht="15.95" customHeight="1" s="18">
      <c r="A19" s="13" t="inlineStr">
        <is>
          <t>b296d50b7dce</t>
        </is>
      </c>
      <c r="B19" s="13" t="inlineStr">
        <is>
          <t>15/02/2026</t>
        </is>
      </c>
      <c r="C19" s="13" t="inlineStr">
        <is>
          <t>Quantity Surveyors THAMES</t>
        </is>
      </c>
      <c r="D19" s="13" t="inlineStr">
        <is>
          <t>Matchtech</t>
        </is>
      </c>
      <c r="E19" s="13" t="inlineStr">
        <is>
          <t>Farringdon, Central London</t>
        </is>
      </c>
      <c r="F19" s="13" t="inlineStr">
        <is>
          <t>£45,000 – £75,000</t>
        </is>
      </c>
      <c r="G19" s="13" t="inlineStr">
        <is>
          <t>Adzuna UK</t>
        </is>
      </c>
      <c r="H19" s="9" t="inlineStr">
        <is>
          <t>CONFIRMED</t>
        </is>
      </c>
      <c r="I19" s="13" t="n">
        <v>60</v>
      </c>
      <c r="J19" s="14" t="inlineStr">
        <is>
          <t>Apply Here</t>
        </is>
      </c>
      <c r="K19" s="15" t="inlineStr">
        <is>
          <t>No</t>
        </is>
      </c>
      <c r="L19" s="15" t="n"/>
      <c r="M19" s="15" t="inlineStr">
        <is>
          <t>Pending</t>
        </is>
      </c>
      <c r="N19" s="16" t="inlineStr">
        <is>
          <t>Missing required licence/cert</t>
        </is>
      </c>
      <c r="O19" s="15" t="inlineStr">
        <is>
          <t xml:space="preserve">Requir Quantity Surveying degree and experince </t>
        </is>
      </c>
    </row>
    <row r="20" ht="15.95" customHeight="1" s="18">
      <c r="A20" s="8" t="inlineStr">
        <is>
          <t>795cc27c4699</t>
        </is>
      </c>
      <c r="B20" s="8" t="inlineStr">
        <is>
          <t>15/02/2026</t>
        </is>
      </c>
      <c r="C20" s="8" t="inlineStr">
        <is>
          <t>Electrical Engineer</t>
        </is>
      </c>
      <c r="D20" s="8" t="inlineStr">
        <is>
          <t>Mott MacDonald</t>
        </is>
      </c>
      <c r="E20" s="8" t="inlineStr">
        <is>
          <t>Reading, Berkshire</t>
        </is>
      </c>
      <c r="F20" s="8" t="inlineStr">
        <is>
          <t>£51,358 – £51,358</t>
        </is>
      </c>
      <c r="G20" s="8" t="inlineStr">
        <is>
          <t>Adzuna UK</t>
        </is>
      </c>
      <c r="H20" s="9" t="inlineStr">
        <is>
          <t>CONFIRMED</t>
        </is>
      </c>
      <c r="I20" s="8" t="n">
        <v>55</v>
      </c>
      <c r="J20" s="10" t="inlineStr">
        <is>
          <t>Apply Here</t>
        </is>
      </c>
      <c r="K20" s="11" t="n"/>
      <c r="L20" s="11" t="n"/>
      <c r="M20" s="11" t="inlineStr">
        <is>
          <t>Pending</t>
        </is>
      </c>
      <c r="N20" s="12" t="n"/>
      <c r="O20" s="11" t="n"/>
    </row>
    <row r="21" ht="15.95" customHeight="1" s="18">
      <c r="A21" s="13" t="inlineStr">
        <is>
          <t>ec0341cc70f7</t>
        </is>
      </c>
      <c r="B21" s="13" t="inlineStr">
        <is>
          <t>15/02/2026</t>
        </is>
      </c>
      <c r="C21" s="13" t="inlineStr">
        <is>
          <t>Drainage Design Engineer</t>
        </is>
      </c>
      <c r="D21" s="13" t="inlineStr">
        <is>
          <t>Pave Recruit</t>
        </is>
      </c>
      <c r="E21" s="13" t="inlineStr">
        <is>
          <t>Richmond, West London</t>
        </is>
      </c>
      <c r="F21" s="13" t="inlineStr">
        <is>
          <t>£38,000 – £44,000</t>
        </is>
      </c>
      <c r="G21" s="13" t="inlineStr">
        <is>
          <t>Adzuna UK</t>
        </is>
      </c>
      <c r="H21" s="9" t="inlineStr">
        <is>
          <t>CONFIRMED</t>
        </is>
      </c>
      <c r="I21" s="13" t="n">
        <v>55</v>
      </c>
      <c r="J21" s="14" t="inlineStr">
        <is>
          <t>Apply Here</t>
        </is>
      </c>
      <c r="K21" s="15" t="n"/>
      <c r="L21" s="15" t="n"/>
      <c r="M21" s="15" t="inlineStr">
        <is>
          <t>Pending</t>
        </is>
      </c>
      <c r="N21" s="16" t="n"/>
      <c r="O21" s="15" t="n"/>
    </row>
    <row r="22" ht="16" customHeight="1" s="18">
      <c r="A22" s="20" t="inlineStr">
        <is>
          <t>83045d4d7991</t>
        </is>
      </c>
      <c r="B22" s="20" t="inlineStr">
        <is>
          <t>15/02/2026</t>
        </is>
      </c>
      <c r="C22" s="20" t="inlineStr">
        <is>
          <t>Senior Drainage Engineer</t>
        </is>
      </c>
      <c r="D22" s="20" t="inlineStr">
        <is>
          <t>Pertemps</t>
        </is>
      </c>
      <c r="E22" s="20" t="inlineStr">
        <is>
          <t>Bankside, South East London</t>
        </is>
      </c>
      <c r="F22" s="20" t="inlineStr">
        <is>
          <t>£40,000 – £55,000</t>
        </is>
      </c>
      <c r="G22" s="20" t="inlineStr">
        <is>
          <t>Adzuna UK</t>
        </is>
      </c>
      <c r="H22" s="21" t="inlineStr">
        <is>
          <t>CONFIRMED</t>
        </is>
      </c>
      <c r="I22" s="20" t="n">
        <v>75</v>
      </c>
      <c r="J22" s="22" t="inlineStr">
        <is>
          <t>Apply Here</t>
        </is>
      </c>
      <c r="K22" s="23" t="inlineStr"/>
      <c r="L22" s="23" t="inlineStr"/>
      <c r="M22" s="23" t="inlineStr">
        <is>
          <t>Pending</t>
        </is>
      </c>
      <c r="N22" s="24" t="inlineStr"/>
      <c r="O22" s="23" t="inlineStr"/>
    </row>
    <row r="23" ht="16" customHeight="1" s="18">
      <c r="A23" s="25" t="inlineStr">
        <is>
          <t>1259572c2f51</t>
        </is>
      </c>
      <c r="B23" s="25" t="inlineStr">
        <is>
          <t>15/02/2026</t>
        </is>
      </c>
      <c r="C23" s="25" t="inlineStr">
        <is>
          <t>Drainage Engineer</t>
        </is>
      </c>
      <c r="D23" s="25" t="inlineStr">
        <is>
          <t>CHARTWELL</t>
        </is>
      </c>
      <c r="E23" s="25" t="inlineStr">
        <is>
          <t>Chatham, Kent</t>
        </is>
      </c>
      <c r="F23" s="25" t="inlineStr">
        <is>
          <t>£45,000 – £45,000</t>
        </is>
      </c>
      <c r="G23" s="25" t="inlineStr">
        <is>
          <t>Adzuna UK</t>
        </is>
      </c>
      <c r="H23" s="21" t="inlineStr">
        <is>
          <t>CONFIRMED</t>
        </is>
      </c>
      <c r="I23" s="25" t="n">
        <v>70</v>
      </c>
      <c r="J23" s="26" t="inlineStr">
        <is>
          <t>Apply Here</t>
        </is>
      </c>
      <c r="K23" s="27" t="inlineStr"/>
      <c r="L23" s="27" t="inlineStr"/>
      <c r="M23" s="27" t="inlineStr">
        <is>
          <t>Pending</t>
        </is>
      </c>
      <c r="N23" s="28" t="inlineStr"/>
      <c r="O23" s="27" t="inlineStr"/>
    </row>
    <row r="24" ht="16" customHeight="1" s="18">
      <c r="A24" s="20" t="inlineStr">
        <is>
          <t>76f10131f861</t>
        </is>
      </c>
      <c r="B24" s="20" t="inlineStr">
        <is>
          <t>15/02/2026</t>
        </is>
      </c>
      <c r="C24" s="20" t="inlineStr">
        <is>
          <t>Drainage Engineer</t>
        </is>
      </c>
      <c r="D24" s="20" t="inlineStr">
        <is>
          <t>Vector Recruitment Solutions</t>
        </is>
      </c>
      <c r="E24" s="20" t="inlineStr">
        <is>
          <t>Farnborough, Hampshire</t>
        </is>
      </c>
      <c r="F24" s="20" t="inlineStr">
        <is>
          <t>£30,000 – £44,000</t>
        </is>
      </c>
      <c r="G24" s="20" t="inlineStr">
        <is>
          <t>Adzuna UK</t>
        </is>
      </c>
      <c r="H24" s="21" t="inlineStr">
        <is>
          <t>CONFIRMED</t>
        </is>
      </c>
      <c r="I24" s="20" t="n">
        <v>70</v>
      </c>
      <c r="J24" s="22" t="inlineStr">
        <is>
          <t>Apply Here</t>
        </is>
      </c>
      <c r="K24" s="23" t="inlineStr"/>
      <c r="L24" s="23" t="inlineStr"/>
      <c r="M24" s="23" t="inlineStr">
        <is>
          <t>Pending</t>
        </is>
      </c>
      <c r="N24" s="24" t="inlineStr"/>
      <c r="O24" s="23" t="inlineStr"/>
    </row>
    <row r="25" ht="16" customHeight="1" s="18">
      <c r="A25" s="25" t="inlineStr">
        <is>
          <t>05c61870a995</t>
        </is>
      </c>
      <c r="B25" s="25" t="inlineStr">
        <is>
          <t>15/02/2026</t>
        </is>
      </c>
      <c r="C25" s="25" t="inlineStr">
        <is>
          <t>Drainage Engineer</t>
        </is>
      </c>
      <c r="D25" s="25" t="inlineStr">
        <is>
          <t>Additional Resources Ltd</t>
        </is>
      </c>
      <c r="E25" s="25" t="inlineStr">
        <is>
          <t>Caversham, Reading</t>
        </is>
      </c>
      <c r="F25" s="25" t="inlineStr">
        <is>
          <t>£31,000 – £48,000</t>
        </is>
      </c>
      <c r="G25" s="25" t="inlineStr">
        <is>
          <t>Adzuna UK</t>
        </is>
      </c>
      <c r="H25" s="21" t="inlineStr">
        <is>
          <t>CONFIRMED</t>
        </is>
      </c>
      <c r="I25" s="25" t="n">
        <v>70</v>
      </c>
      <c r="J25" s="26" t="inlineStr">
        <is>
          <t>Apply Here</t>
        </is>
      </c>
      <c r="K25" s="27" t="inlineStr"/>
      <c r="L25" s="27" t="inlineStr"/>
      <c r="M25" s="27" t="inlineStr">
        <is>
          <t>Pending</t>
        </is>
      </c>
      <c r="N25" s="28" t="inlineStr"/>
      <c r="O25" s="27" t="inlineStr"/>
    </row>
    <row r="26" ht="16" customHeight="1" s="18">
      <c r="A26" s="20" t="inlineStr">
        <is>
          <t>4de218f7aabd</t>
        </is>
      </c>
      <c r="B26" s="20" t="inlineStr">
        <is>
          <t>15/02/2026</t>
        </is>
      </c>
      <c r="C26" s="20" t="inlineStr">
        <is>
          <t>Drainage Engineer - Pub Refurbishment Contract</t>
        </is>
      </c>
      <c r="D26" s="20" t="inlineStr">
        <is>
          <t>ARC  Ltd</t>
        </is>
      </c>
      <c r="E26" s="20" t="inlineStr">
        <is>
          <t>Hyde Park, West London</t>
        </is>
      </c>
      <c r="F26" s="20" t="inlineStr">
        <is>
          <t>£41,600 – £52,000</t>
        </is>
      </c>
      <c r="G26" s="20" t="inlineStr">
        <is>
          <t>Adzuna UK</t>
        </is>
      </c>
      <c r="H26" s="21" t="inlineStr">
        <is>
          <t>CONFIRMED</t>
        </is>
      </c>
      <c r="I26" s="20" t="n">
        <v>70</v>
      </c>
      <c r="J26" s="22" t="inlineStr">
        <is>
          <t>Apply Here</t>
        </is>
      </c>
      <c r="K26" s="23" t="inlineStr"/>
      <c r="L26" s="23" t="inlineStr"/>
      <c r="M26" s="23" t="inlineStr">
        <is>
          <t>Pending</t>
        </is>
      </c>
      <c r="N26" s="24" t="inlineStr"/>
      <c r="O26" s="23" t="inlineStr"/>
    </row>
    <row r="27" ht="16" customHeight="1" s="18">
      <c r="A27" s="25" t="inlineStr">
        <is>
          <t>651e5a77e1d5</t>
        </is>
      </c>
      <c r="B27" s="25" t="inlineStr">
        <is>
          <t>15/02/2026</t>
        </is>
      </c>
      <c r="C27" s="25" t="inlineStr">
        <is>
          <t>Drainage Engineer</t>
        </is>
      </c>
      <c r="D27" s="25" t="inlineStr">
        <is>
          <t>Reed</t>
        </is>
      </c>
      <c r="E27" s="25" t="inlineStr">
        <is>
          <t>London, UK</t>
        </is>
      </c>
      <c r="F27" s="25" t="inlineStr">
        <is>
          <t>£40,000 – £50,000</t>
        </is>
      </c>
      <c r="G27" s="25" t="inlineStr">
        <is>
          <t>Adzuna UK</t>
        </is>
      </c>
      <c r="H27" s="21" t="inlineStr">
        <is>
          <t>CONFIRMED</t>
        </is>
      </c>
      <c r="I27" s="25" t="n">
        <v>70</v>
      </c>
      <c r="J27" s="26" t="inlineStr">
        <is>
          <t>Apply Here</t>
        </is>
      </c>
      <c r="K27" s="27" t="inlineStr"/>
      <c r="L27" s="27" t="inlineStr"/>
      <c r="M27" s="27" t="inlineStr">
        <is>
          <t>Pending</t>
        </is>
      </c>
      <c r="N27" s="28" t="inlineStr"/>
      <c r="O27" s="27" t="inlineStr"/>
    </row>
    <row r="28" ht="16" customHeight="1" s="18">
      <c r="A28" s="20" t="inlineStr">
        <is>
          <t>ba0ea64a6b8f</t>
        </is>
      </c>
      <c r="B28" s="20" t="inlineStr">
        <is>
          <t>15/02/2026</t>
        </is>
      </c>
      <c r="C28" s="20" t="inlineStr">
        <is>
          <t>Drainage Engineer</t>
        </is>
      </c>
      <c r="D28" s="20" t="inlineStr">
        <is>
          <t>Vector Recruitment</t>
        </is>
      </c>
      <c r="E28" s="20" t="inlineStr">
        <is>
          <t>Guildford, Surrey</t>
        </is>
      </c>
      <c r="F28" s="20" t="inlineStr">
        <is>
          <t>£30,000 – £44,000</t>
        </is>
      </c>
      <c r="G28" s="20" t="inlineStr">
        <is>
          <t>Adzuna UK</t>
        </is>
      </c>
      <c r="H28" s="21" t="inlineStr">
        <is>
          <t>CONFIRMED</t>
        </is>
      </c>
      <c r="I28" s="20" t="n">
        <v>70</v>
      </c>
      <c r="J28" s="22" t="inlineStr">
        <is>
          <t>Apply Here</t>
        </is>
      </c>
      <c r="K28" s="23" t="inlineStr"/>
      <c r="L28" s="23" t="inlineStr"/>
      <c r="M28" s="23" t="inlineStr">
        <is>
          <t>Pending</t>
        </is>
      </c>
      <c r="N28" s="24" t="inlineStr"/>
      <c r="O28" s="23" t="inlineStr"/>
    </row>
    <row r="29" ht="16" customHeight="1" s="18">
      <c r="A29" s="25" t="inlineStr">
        <is>
          <t>2ac04426a028</t>
        </is>
      </c>
      <c r="B29" s="25" t="inlineStr">
        <is>
          <t>15/02/2026</t>
        </is>
      </c>
      <c r="C29" s="25" t="inlineStr">
        <is>
          <t>Civil Infrastructure Engineer</t>
        </is>
      </c>
      <c r="D29" s="25" t="inlineStr">
        <is>
          <t>Zodiac Recruitment</t>
        </is>
      </c>
      <c r="E29" s="25" t="inlineStr">
        <is>
          <t>Stone Cross, Crowborough</t>
        </is>
      </c>
      <c r="F29" s="25" t="inlineStr">
        <is>
          <t>£32,000 – £44,000</t>
        </is>
      </c>
      <c r="G29" s="25" t="inlineStr">
        <is>
          <t>Adzuna UK</t>
        </is>
      </c>
      <c r="H29" s="21" t="inlineStr">
        <is>
          <t>CONFIRMED</t>
        </is>
      </c>
      <c r="I29" s="25" t="n">
        <v>70</v>
      </c>
      <c r="J29" s="26" t="inlineStr">
        <is>
          <t>Apply Here</t>
        </is>
      </c>
      <c r="K29" s="27" t="inlineStr"/>
      <c r="L29" s="27" t="inlineStr"/>
      <c r="M29" s="27" t="inlineStr">
        <is>
          <t>Pending</t>
        </is>
      </c>
      <c r="N29" s="28" t="inlineStr"/>
      <c r="O29" s="27" t="inlineStr"/>
    </row>
    <row r="30" ht="16" customHeight="1" s="18">
      <c r="A30" s="20" t="inlineStr">
        <is>
          <t>841d2985b4fd</t>
        </is>
      </c>
      <c r="B30" s="20" t="inlineStr">
        <is>
          <t>15/02/2026</t>
        </is>
      </c>
      <c r="C30" s="20" t="inlineStr">
        <is>
          <t>Technician/drainage engineer</t>
        </is>
      </c>
      <c r="D30" s="20" t="inlineStr">
        <is>
          <t>Barnet Council</t>
        </is>
      </c>
      <c r="E30" s="20" t="inlineStr">
        <is>
          <t>Friern Barnet, North London</t>
        </is>
      </c>
      <c r="F30" s="20" t="inlineStr">
        <is>
          <t>£39,276 – £42,771</t>
        </is>
      </c>
      <c r="G30" s="20" t="inlineStr">
        <is>
          <t>Adzuna UK</t>
        </is>
      </c>
      <c r="H30" s="21" t="inlineStr">
        <is>
          <t>CONFIRMED</t>
        </is>
      </c>
      <c r="I30" s="20" t="n">
        <v>70</v>
      </c>
      <c r="J30" s="22" t="inlineStr">
        <is>
          <t>Apply Here</t>
        </is>
      </c>
      <c r="K30" s="23" t="inlineStr"/>
      <c r="L30" s="23" t="inlineStr"/>
      <c r="M30" s="23" t="inlineStr">
        <is>
          <t>Pending</t>
        </is>
      </c>
      <c r="N30" s="24" t="inlineStr"/>
      <c r="O30" s="23" t="inlineStr"/>
    </row>
    <row r="31" ht="16" customHeight="1" s="18">
      <c r="A31" s="25" t="inlineStr">
        <is>
          <t>1a577b93606b</t>
        </is>
      </c>
      <c r="B31" s="25" t="inlineStr">
        <is>
          <t>15/02/2026</t>
        </is>
      </c>
      <c r="C31" s="25" t="inlineStr">
        <is>
          <t>Drainage Engineer</t>
        </is>
      </c>
      <c r="D31" s="25" t="inlineStr">
        <is>
          <t>Ernest Gordon Recruitment</t>
        </is>
      </c>
      <c r="E31" s="25" t="inlineStr">
        <is>
          <t>South Croydon, South East London</t>
        </is>
      </c>
      <c r="F31" s="25" t="inlineStr">
        <is>
          <t>£45,000 – £45,000</t>
        </is>
      </c>
      <c r="G31" s="25" t="inlineStr">
        <is>
          <t>Adzuna UK</t>
        </is>
      </c>
      <c r="H31" s="21" t="inlineStr">
        <is>
          <t>CONFIRMED</t>
        </is>
      </c>
      <c r="I31" s="25" t="n">
        <v>70</v>
      </c>
      <c r="J31" s="26" t="inlineStr">
        <is>
          <t>Apply Here</t>
        </is>
      </c>
      <c r="K31" s="27" t="inlineStr"/>
      <c r="L31" s="27" t="inlineStr"/>
      <c r="M31" s="27" t="inlineStr">
        <is>
          <t>Pending</t>
        </is>
      </c>
      <c r="N31" s="28" t="inlineStr"/>
      <c r="O31" s="27" t="inlineStr"/>
    </row>
    <row r="32" ht="16" customHeight="1" s="18">
      <c r="A32" s="20" t="inlineStr">
        <is>
          <t>b8ae75512742</t>
        </is>
      </c>
      <c r="B32" s="20" t="inlineStr">
        <is>
          <t>15/02/2026</t>
        </is>
      </c>
      <c r="C32" s="20" t="inlineStr">
        <is>
          <t>Drainage Engineer</t>
        </is>
      </c>
      <c r="D32" s="20" t="inlineStr">
        <is>
          <t>Ernest Gordon Recruitment Limited</t>
        </is>
      </c>
      <c r="E32" s="20" t="inlineStr">
        <is>
          <t>Croydon, London</t>
        </is>
      </c>
      <c r="F32" s="20" t="inlineStr">
        <is>
          <t>£35,000 – £45,000</t>
        </is>
      </c>
      <c r="G32" s="20" t="inlineStr">
        <is>
          <t>Adzuna UK</t>
        </is>
      </c>
      <c r="H32" s="21" t="inlineStr">
        <is>
          <t>CONFIRMED</t>
        </is>
      </c>
      <c r="I32" s="20" t="n">
        <v>70</v>
      </c>
      <c r="J32" s="22" t="inlineStr">
        <is>
          <t>Apply Here</t>
        </is>
      </c>
      <c r="K32" s="23" t="inlineStr"/>
      <c r="L32" s="23" t="inlineStr"/>
      <c r="M32" s="23" t="inlineStr">
        <is>
          <t>Pending</t>
        </is>
      </c>
      <c r="N32" s="24" t="inlineStr"/>
      <c r="O32" s="23" t="inlineStr"/>
    </row>
    <row r="33" ht="16" customHeight="1" s="18">
      <c r="A33" s="25" t="inlineStr">
        <is>
          <t>cf8db4a8ecb7</t>
        </is>
      </c>
      <c r="B33" s="25" t="inlineStr">
        <is>
          <t>15/02/2026</t>
        </is>
      </c>
      <c r="C33" s="25" t="inlineStr">
        <is>
          <t>Drainage Engineer</t>
        </is>
      </c>
      <c r="D33" s="25" t="inlineStr">
        <is>
          <t>Ernest Gordon Recruitment Limited</t>
        </is>
      </c>
      <c r="E33" s="25" t="inlineStr">
        <is>
          <t>South Croydon, South East London</t>
        </is>
      </c>
      <c r="F33" s="25" t="inlineStr">
        <is>
          <t>£35,000 – £45,000</t>
        </is>
      </c>
      <c r="G33" s="25" t="inlineStr">
        <is>
          <t>Adzuna UK</t>
        </is>
      </c>
      <c r="H33" s="21" t="inlineStr">
        <is>
          <t>CONFIRMED</t>
        </is>
      </c>
      <c r="I33" s="25" t="n">
        <v>70</v>
      </c>
      <c r="J33" s="26" t="inlineStr">
        <is>
          <t>Apply Here</t>
        </is>
      </c>
      <c r="K33" s="27" t="inlineStr"/>
      <c r="L33" s="27" t="inlineStr"/>
      <c r="M33" s="27" t="inlineStr">
        <is>
          <t>Pending</t>
        </is>
      </c>
      <c r="N33" s="28" t="inlineStr"/>
      <c r="O33" s="27" t="inlineStr"/>
    </row>
    <row r="34" ht="16" customHeight="1" s="18">
      <c r="A34" s="20" t="inlineStr">
        <is>
          <t>c579f6c01e71</t>
        </is>
      </c>
      <c r="B34" s="20" t="inlineStr">
        <is>
          <t>15/02/2026</t>
        </is>
      </c>
      <c r="C34" s="20" t="inlineStr">
        <is>
          <t>Drainage Engineer</t>
        </is>
      </c>
      <c r="D34" s="20" t="inlineStr">
        <is>
          <t>Ernest Gordon Recruitment Limited</t>
        </is>
      </c>
      <c r="E34" s="20" t="inlineStr">
        <is>
          <t>Croydon, London</t>
        </is>
      </c>
      <c r="F34" s="20" t="inlineStr">
        <is>
          <t>£35,000 – £45,000</t>
        </is>
      </c>
      <c r="G34" s="20" t="inlineStr">
        <is>
          <t>Adzuna UK</t>
        </is>
      </c>
      <c r="H34" s="21" t="inlineStr">
        <is>
          <t>CONFIRMED</t>
        </is>
      </c>
      <c r="I34" s="20" t="n">
        <v>70</v>
      </c>
      <c r="J34" s="22" t="inlineStr">
        <is>
          <t>Apply Here</t>
        </is>
      </c>
      <c r="K34" s="23" t="inlineStr"/>
      <c r="L34" s="23" t="inlineStr"/>
      <c r="M34" s="23" t="inlineStr">
        <is>
          <t>Pending</t>
        </is>
      </c>
      <c r="N34" s="24" t="inlineStr"/>
      <c r="O34" s="23" t="inlineStr"/>
    </row>
    <row r="35" ht="16" customHeight="1" s="18">
      <c r="A35" s="25" t="inlineStr">
        <is>
          <t>556dd53be35c</t>
        </is>
      </c>
      <c r="B35" s="25" t="inlineStr">
        <is>
          <t>15/02/2026</t>
        </is>
      </c>
      <c r="C35" s="25" t="inlineStr">
        <is>
          <t>Mechanical Design Engineer - Water</t>
        </is>
      </c>
      <c r="D35" s="25" t="inlineStr">
        <is>
          <t>SSA Recruitment</t>
        </is>
      </c>
      <c r="E35" s="25" t="inlineStr">
        <is>
          <t>West Hampstead, North West London</t>
        </is>
      </c>
      <c r="F35" s="25" t="inlineStr">
        <is>
          <t>£55,000 – £65,000</t>
        </is>
      </c>
      <c r="G35" s="25" t="inlineStr">
        <is>
          <t>Adzuna UK</t>
        </is>
      </c>
      <c r="H35" s="21" t="inlineStr">
        <is>
          <t>CONFIRMED</t>
        </is>
      </c>
      <c r="I35" s="25" t="n">
        <v>65</v>
      </c>
      <c r="J35" s="26" t="inlineStr">
        <is>
          <t>Apply Here</t>
        </is>
      </c>
      <c r="K35" s="27" t="inlineStr"/>
      <c r="L35" s="27" t="inlineStr"/>
      <c r="M35" s="27" t="inlineStr">
        <is>
          <t>Pending</t>
        </is>
      </c>
      <c r="N35" s="28" t="inlineStr"/>
      <c r="O35" s="27" t="inlineStr"/>
    </row>
    <row r="36" ht="16" customHeight="1" s="18">
      <c r="A36" s="20" t="inlineStr">
        <is>
          <t>29d4744a926f</t>
        </is>
      </c>
      <c r="B36" s="20" t="inlineStr">
        <is>
          <t>15/02/2026</t>
        </is>
      </c>
      <c r="C36" s="20" t="inlineStr">
        <is>
          <t>Senior Water Network Engineer/Modellers</t>
        </is>
      </c>
      <c r="D36" s="20" t="inlineStr">
        <is>
          <t>Jacobs</t>
        </is>
      </c>
      <c r="E36" s="20" t="inlineStr">
        <is>
          <t>Reading, Berkshire</t>
        </is>
      </c>
      <c r="F36" s="20" t="inlineStr">
        <is>
          <t>£50,253 – £50,253</t>
        </is>
      </c>
      <c r="G36" s="20" t="inlineStr">
        <is>
          <t>Adzuna UK</t>
        </is>
      </c>
      <c r="H36" s="21" t="inlineStr">
        <is>
          <t>CONFIRMED</t>
        </is>
      </c>
      <c r="I36" s="20" t="n">
        <v>65</v>
      </c>
      <c r="J36" s="22" t="inlineStr">
        <is>
          <t>Apply Here</t>
        </is>
      </c>
      <c r="K36" s="23" t="inlineStr"/>
      <c r="L36" s="23" t="inlineStr"/>
      <c r="M36" s="23" t="inlineStr">
        <is>
          <t>Pending</t>
        </is>
      </c>
      <c r="N36" s="24" t="inlineStr"/>
      <c r="O36" s="23" t="inlineStr"/>
    </row>
    <row r="37" ht="16" customHeight="1" s="18">
      <c r="A37" s="25" t="inlineStr">
        <is>
          <t>085472100acd</t>
        </is>
      </c>
      <c r="B37" s="25" t="inlineStr">
        <is>
          <t>15/02/2026</t>
        </is>
      </c>
      <c r="C37" s="25" t="inlineStr">
        <is>
          <t>Hydraulics Engineers - UK Wide</t>
        </is>
      </c>
      <c r="D37" s="25" t="inlineStr">
        <is>
          <t>Jacobs</t>
        </is>
      </c>
      <c r="E37" s="25" t="inlineStr">
        <is>
          <t>Reading, Berkshire</t>
        </is>
      </c>
      <c r="F37" s="25" t="inlineStr">
        <is>
          <t>£48,252 – £48,252</t>
        </is>
      </c>
      <c r="G37" s="25" t="inlineStr">
        <is>
          <t>Adzuna UK</t>
        </is>
      </c>
      <c r="H37" s="21" t="inlineStr">
        <is>
          <t>CONFIRMED</t>
        </is>
      </c>
      <c r="I37" s="25" t="n">
        <v>65</v>
      </c>
      <c r="J37" s="26" t="inlineStr">
        <is>
          <t>Apply Here</t>
        </is>
      </c>
      <c r="K37" s="27" t="inlineStr"/>
      <c r="L37" s="27" t="inlineStr"/>
      <c r="M37" s="27" t="inlineStr">
        <is>
          <t>Pending</t>
        </is>
      </c>
      <c r="N37" s="28" t="inlineStr"/>
      <c r="O37" s="27" t="inlineStr"/>
    </row>
    <row r="38" ht="16" customHeight="1" s="18">
      <c r="A38" s="20" t="inlineStr">
        <is>
          <t>7fc3b4655872</t>
        </is>
      </c>
      <c r="B38" s="20" t="inlineStr">
        <is>
          <t>15/02/2026</t>
        </is>
      </c>
      <c r="C38" s="20" t="inlineStr">
        <is>
          <t>Hydraulics Engineers - UK Wide</t>
        </is>
      </c>
      <c r="D38" s="20" t="inlineStr">
        <is>
          <t>Jacobs</t>
        </is>
      </c>
      <c r="E38" s="20" t="inlineStr">
        <is>
          <t>London, UK</t>
        </is>
      </c>
      <c r="F38" s="20" t="inlineStr">
        <is>
          <t>£49,369 – £49,369</t>
        </is>
      </c>
      <c r="G38" s="20" t="inlineStr">
        <is>
          <t>Adzuna UK</t>
        </is>
      </c>
      <c r="H38" s="21" t="inlineStr">
        <is>
          <t>CONFIRMED</t>
        </is>
      </c>
      <c r="I38" s="20" t="n">
        <v>65</v>
      </c>
      <c r="J38" s="22" t="inlineStr">
        <is>
          <t>Apply Here</t>
        </is>
      </c>
      <c r="K38" s="23" t="inlineStr"/>
      <c r="L38" s="23" t="inlineStr"/>
      <c r="M38" s="23" t="inlineStr">
        <is>
          <t>Pending</t>
        </is>
      </c>
      <c r="N38" s="24" t="inlineStr"/>
      <c r="O38" s="23" t="inlineStr"/>
    </row>
    <row r="39" ht="16" customHeight="1" s="18">
      <c r="A39" s="25" t="inlineStr">
        <is>
          <t>5a9a54ed5120</t>
        </is>
      </c>
      <c r="B39" s="25" t="inlineStr">
        <is>
          <t>15/02/2026</t>
        </is>
      </c>
      <c r="C39" s="25" t="inlineStr">
        <is>
          <t>Senior Civil Engineer</t>
        </is>
      </c>
      <c r="D39" s="25" t="inlineStr">
        <is>
          <t>Penguin Recruitment</t>
        </is>
      </c>
      <c r="E39" s="25" t="inlineStr">
        <is>
          <t>Denner Hill, Great Missenden</t>
        </is>
      </c>
      <c r="F39" s="25" t="inlineStr">
        <is>
          <t>£38,000 – £60,000</t>
        </is>
      </c>
      <c r="G39" s="25" t="inlineStr">
        <is>
          <t>Adzuna UK</t>
        </is>
      </c>
      <c r="H39" s="21" t="inlineStr">
        <is>
          <t>CONFIRMED</t>
        </is>
      </c>
      <c r="I39" s="25" t="n">
        <v>60</v>
      </c>
      <c r="J39" s="26" t="inlineStr">
        <is>
          <t>Apply Here</t>
        </is>
      </c>
      <c r="K39" s="27" t="inlineStr"/>
      <c r="L39" s="27" t="inlineStr"/>
      <c r="M39" s="27" t="inlineStr">
        <is>
          <t>Pending</t>
        </is>
      </c>
      <c r="N39" s="28" t="inlineStr"/>
      <c r="O39" s="27" t="inlineStr"/>
    </row>
    <row r="40" ht="16" customHeight="1" s="18">
      <c r="A40" s="20" t="inlineStr">
        <is>
          <t>fdf40b771f71</t>
        </is>
      </c>
      <c r="B40" s="20" t="inlineStr">
        <is>
          <t>15/02/2026</t>
        </is>
      </c>
      <c r="C40" s="20" t="inlineStr">
        <is>
          <t>Senior Civil Engineer - Drainage &amp; Highway</t>
        </is>
      </c>
      <c r="D40" s="20" t="inlineStr">
        <is>
          <t>Pertemps</t>
        </is>
      </c>
      <c r="E40" s="20" t="inlineStr">
        <is>
          <t>Fitzrovia, West London</t>
        </is>
      </c>
      <c r="F40" s="20" t="inlineStr">
        <is>
          <t>£45,000 – £55,000</t>
        </is>
      </c>
      <c r="G40" s="20" t="inlineStr">
        <is>
          <t>Adzuna UK</t>
        </is>
      </c>
      <c r="H40" s="21" t="inlineStr">
        <is>
          <t>CONFIRMED</t>
        </is>
      </c>
      <c r="I40" s="20" t="n">
        <v>60</v>
      </c>
      <c r="J40" s="22" t="inlineStr">
        <is>
          <t>Apply Here</t>
        </is>
      </c>
      <c r="K40" s="23" t="inlineStr"/>
      <c r="L40" s="23" t="inlineStr"/>
      <c r="M40" s="23" t="inlineStr">
        <is>
          <t>Pending</t>
        </is>
      </c>
      <c r="N40" s="24" t="inlineStr"/>
      <c r="O40" s="23" t="inlineStr"/>
    </row>
    <row r="41" ht="16" customHeight="1" s="18">
      <c r="A41" s="25" t="inlineStr">
        <is>
          <t>9410fd144013</t>
        </is>
      </c>
      <c r="B41" s="25" t="inlineStr">
        <is>
          <t>15/02/2026</t>
        </is>
      </c>
      <c r="C41" s="25" t="inlineStr">
        <is>
          <t>Civil Engineer (Airports) – Pavements and Drainage</t>
        </is>
      </c>
      <c r="D41" s="25" t="inlineStr">
        <is>
          <t>RPS Group Limited</t>
        </is>
      </c>
      <c r="E41" s="25" t="inlineStr">
        <is>
          <t>London, UK</t>
        </is>
      </c>
      <c r="F41" s="25" t="inlineStr">
        <is>
          <t>£43,960 – £43,960</t>
        </is>
      </c>
      <c r="G41" s="25" t="inlineStr">
        <is>
          <t>Adzuna UK</t>
        </is>
      </c>
      <c r="H41" s="21" t="inlineStr">
        <is>
          <t>CONFIRMED</t>
        </is>
      </c>
      <c r="I41" s="25" t="n">
        <v>60</v>
      </c>
      <c r="J41" s="26" t="inlineStr">
        <is>
          <t>Apply Here</t>
        </is>
      </c>
      <c r="K41" s="27" t="inlineStr"/>
      <c r="L41" s="27" t="inlineStr"/>
      <c r="M41" s="27" t="inlineStr">
        <is>
          <t>Pending</t>
        </is>
      </c>
      <c r="N41" s="28" t="inlineStr"/>
      <c r="O41" s="27" t="inlineStr"/>
    </row>
    <row r="42" ht="16" customHeight="1" s="18">
      <c r="A42" s="20" t="inlineStr">
        <is>
          <t>9c5f476e7cf6</t>
        </is>
      </c>
      <c r="B42" s="20" t="inlineStr">
        <is>
          <t>15/02/2026</t>
        </is>
      </c>
      <c r="C42" s="20" t="inlineStr">
        <is>
          <t>Sr Civil Enigneer</t>
        </is>
      </c>
      <c r="D42" s="20" t="inlineStr">
        <is>
          <t xml:space="preserve">RGB London </t>
        </is>
      </c>
      <c r="E42" s="20" t="inlineStr">
        <is>
          <t>Central London, London</t>
        </is>
      </c>
      <c r="F42" s="20" t="inlineStr">
        <is>
          <t>£45,000 – £55,000</t>
        </is>
      </c>
      <c r="G42" s="20" t="inlineStr">
        <is>
          <t>Adzuna UK</t>
        </is>
      </c>
      <c r="H42" s="21" t="inlineStr">
        <is>
          <t>CONFIRMED</t>
        </is>
      </c>
      <c r="I42" s="20" t="n">
        <v>60</v>
      </c>
      <c r="J42" s="22" t="inlineStr">
        <is>
          <t>Apply Here</t>
        </is>
      </c>
      <c r="K42" s="23" t="inlineStr"/>
      <c r="L42" s="23" t="inlineStr"/>
      <c r="M42" s="23" t="inlineStr">
        <is>
          <t>Pending</t>
        </is>
      </c>
      <c r="N42" s="24" t="inlineStr"/>
      <c r="O42" s="23" t="inlineStr"/>
    </row>
    <row r="43" ht="16" customHeight="1" s="18">
      <c r="A43" s="25" t="inlineStr">
        <is>
          <t>d0f126a7e892</t>
        </is>
      </c>
      <c r="B43" s="25" t="inlineStr">
        <is>
          <t>15/02/2026</t>
        </is>
      </c>
      <c r="C43" s="25" t="inlineStr">
        <is>
          <t>Assistant Quantity Surveyor / Estimator - Civil Engineering</t>
        </is>
      </c>
      <c r="D43" s="25" t="inlineStr">
        <is>
          <t>Henley Chase</t>
        </is>
      </c>
      <c r="E43" s="25" t="inlineStr">
        <is>
          <t>New Haw, Addlestone</t>
        </is>
      </c>
      <c r="F43" s="25" t="inlineStr">
        <is>
          <t>£30,000 – £50,000</t>
        </is>
      </c>
      <c r="G43" s="25" t="inlineStr">
        <is>
          <t>Adzuna UK</t>
        </is>
      </c>
      <c r="H43" s="21" t="inlineStr">
        <is>
          <t>CONFIRMED</t>
        </is>
      </c>
      <c r="I43" s="25" t="n">
        <v>60</v>
      </c>
      <c r="J43" s="26" t="inlineStr">
        <is>
          <t>Apply Here</t>
        </is>
      </c>
      <c r="K43" s="27" t="inlineStr"/>
      <c r="L43" s="27" t="inlineStr"/>
      <c r="M43" s="27" t="inlineStr">
        <is>
          <t>Pending</t>
        </is>
      </c>
      <c r="N43" s="28" t="inlineStr"/>
      <c r="O43" s="27" t="inlineStr"/>
    </row>
    <row r="44" ht="16" customHeight="1" s="18">
      <c r="A44" s="20" t="inlineStr">
        <is>
          <t>035607cabc8c</t>
        </is>
      </c>
      <c r="B44" s="20" t="inlineStr">
        <is>
          <t>15/02/2026</t>
        </is>
      </c>
      <c r="C44" s="20" t="inlineStr">
        <is>
          <t>Health And Safety Manager</t>
        </is>
      </c>
      <c r="D44" s="20" t="inlineStr">
        <is>
          <t>OH Medical Recruitment Ltd</t>
        </is>
      </c>
      <c r="E44" s="20" t="inlineStr">
        <is>
          <t>Penenden Heath, Maidstone</t>
        </is>
      </c>
      <c r="F44" s="20" t="inlineStr">
        <is>
          <t>£50,000 – £55,000</t>
        </is>
      </c>
      <c r="G44" s="20" t="inlineStr">
        <is>
          <t>Adzuna UK</t>
        </is>
      </c>
      <c r="H44" s="21" t="inlineStr">
        <is>
          <t>CONFIRMED</t>
        </is>
      </c>
      <c r="I44" s="20" t="n">
        <v>60</v>
      </c>
      <c r="J44" s="22" t="inlineStr">
        <is>
          <t>Apply Here</t>
        </is>
      </c>
      <c r="K44" s="23" t="inlineStr"/>
      <c r="L44" s="23" t="inlineStr"/>
      <c r="M44" s="23" t="inlineStr">
        <is>
          <t>Pending</t>
        </is>
      </c>
      <c r="N44" s="24" t="inlineStr"/>
      <c r="O44" s="23" t="inlineStr"/>
    </row>
    <row r="45" ht="16" customHeight="1" s="18">
      <c r="A45" s="25" t="inlineStr">
        <is>
          <t>cc30ace0f79e</t>
        </is>
      </c>
      <c r="B45" s="25" t="inlineStr">
        <is>
          <t>15/02/2026</t>
        </is>
      </c>
      <c r="C45" s="25" t="inlineStr">
        <is>
          <t>Junior Quantity Surveyor / Estimator - Civil Engineering</t>
        </is>
      </c>
      <c r="D45" s="25" t="inlineStr">
        <is>
          <t>Henley Chase Limited</t>
        </is>
      </c>
      <c r="E45" s="25" t="inlineStr">
        <is>
          <t>Addlestone, Surrey</t>
        </is>
      </c>
      <c r="F45" s="25" t="inlineStr">
        <is>
          <t>£30,000 – £50,000</t>
        </is>
      </c>
      <c r="G45" s="25" t="inlineStr">
        <is>
          <t>Adzuna UK</t>
        </is>
      </c>
      <c r="H45" s="21" t="inlineStr">
        <is>
          <t>CONFIRMED</t>
        </is>
      </c>
      <c r="I45" s="25" t="n">
        <v>60</v>
      </c>
      <c r="J45" s="26" t="inlineStr">
        <is>
          <t>Apply Here</t>
        </is>
      </c>
      <c r="K45" s="27" t="inlineStr"/>
      <c r="L45" s="27" t="inlineStr"/>
      <c r="M45" s="27" t="inlineStr">
        <is>
          <t>Pending</t>
        </is>
      </c>
      <c r="N45" s="28" t="inlineStr"/>
      <c r="O45" s="27" t="inlineStr"/>
    </row>
    <row r="46" ht="16" customHeight="1" s="18">
      <c r="A46" s="20" t="inlineStr">
        <is>
          <t>6f7789549243</t>
        </is>
      </c>
      <c r="B46" s="20" t="inlineStr">
        <is>
          <t>15/02/2026</t>
        </is>
      </c>
      <c r="C46" s="20" t="inlineStr">
        <is>
          <t>Drainage Design Engineer</t>
        </is>
      </c>
      <c r="D46" s="20" t="inlineStr">
        <is>
          <t>Pave Recruit</t>
        </is>
      </c>
      <c r="E46" s="20" t="inlineStr">
        <is>
          <t>Richmond, West London</t>
        </is>
      </c>
      <c r="F46" s="20" t="inlineStr">
        <is>
          <t>£38,000 – £44,000</t>
        </is>
      </c>
      <c r="G46" s="20" t="inlineStr">
        <is>
          <t>Adzuna UK</t>
        </is>
      </c>
      <c r="H46" s="21" t="inlineStr">
        <is>
          <t>CONFIRMED</t>
        </is>
      </c>
      <c r="I46" s="20" t="n">
        <v>55</v>
      </c>
      <c r="J46" s="22" t="inlineStr">
        <is>
          <t>Apply Here</t>
        </is>
      </c>
      <c r="K46" s="23" t="inlineStr"/>
      <c r="L46" s="23" t="inlineStr"/>
      <c r="M46" s="23" t="inlineStr">
        <is>
          <t>Pending</t>
        </is>
      </c>
      <c r="N46" s="24" t="inlineStr"/>
      <c r="O46" s="23" t="inlineStr"/>
    </row>
    <row r="47" ht="16" customHeight="1" s="18">
      <c r="A47" s="25" t="inlineStr">
        <is>
          <t>dfece6b6a788</t>
        </is>
      </c>
      <c r="B47" s="25" t="inlineStr">
        <is>
          <t>15/02/2026</t>
        </is>
      </c>
      <c r="C47" s="25" t="inlineStr">
        <is>
          <t>Senior Mechanical Engineer - Water</t>
        </is>
      </c>
      <c r="D47" s="25" t="inlineStr">
        <is>
          <t>AECOM</t>
        </is>
      </c>
      <c r="E47" s="25" t="inlineStr">
        <is>
          <t>St. Albans, Hertfordshire</t>
        </is>
      </c>
      <c r="F47" s="25" t="inlineStr">
        <is>
          <t>£45,822 – £45,822</t>
        </is>
      </c>
      <c r="G47" s="25" t="inlineStr">
        <is>
          <t>Adzuna UK</t>
        </is>
      </c>
      <c r="H47" s="21" t="inlineStr">
        <is>
          <t>CONFIRMED</t>
        </is>
      </c>
      <c r="I47" s="25" t="n">
        <v>55</v>
      </c>
      <c r="J47" s="26" t="inlineStr">
        <is>
          <t>Apply Here</t>
        </is>
      </c>
      <c r="K47" s="27" t="inlineStr"/>
      <c r="L47" s="27" t="inlineStr"/>
      <c r="M47" s="27" t="inlineStr">
        <is>
          <t>Pending</t>
        </is>
      </c>
      <c r="N47" s="28" t="inlineStr"/>
      <c r="O47" s="27" t="inlineStr"/>
    </row>
    <row r="48" ht="16" customHeight="1" s="18">
      <c r="A48" s="20" t="inlineStr">
        <is>
          <t>2f2bb9d9fd30</t>
        </is>
      </c>
      <c r="B48" s="20" t="inlineStr">
        <is>
          <t>15/02/2026</t>
        </is>
      </c>
      <c r="C48" s="20" t="inlineStr">
        <is>
          <t>Senior Mechanical Engineer - Water</t>
        </is>
      </c>
      <c r="D48" s="20" t="inlineStr">
        <is>
          <t>AECOM</t>
        </is>
      </c>
      <c r="E48" s="20" t="inlineStr">
        <is>
          <t>London, UK</t>
        </is>
      </c>
      <c r="F48" s="20" t="inlineStr">
        <is>
          <t>£47,172 – £47,172</t>
        </is>
      </c>
      <c r="G48" s="20" t="inlineStr">
        <is>
          <t>Adzuna UK</t>
        </is>
      </c>
      <c r="H48" s="21" t="inlineStr">
        <is>
          <t>CONFIRMED</t>
        </is>
      </c>
      <c r="I48" s="20" t="n">
        <v>55</v>
      </c>
      <c r="J48" s="22" t="inlineStr">
        <is>
          <t>Apply Here</t>
        </is>
      </c>
      <c r="K48" s="23" t="inlineStr"/>
      <c r="L48" s="23" t="inlineStr"/>
      <c r="M48" s="23" t="inlineStr">
        <is>
          <t>Pending</t>
        </is>
      </c>
      <c r="N48" s="24" t="inlineStr"/>
      <c r="O48" s="23" t="inlineStr"/>
    </row>
    <row r="49" ht="16" customHeight="1" s="18">
      <c r="A49" s="25" t="inlineStr">
        <is>
          <t>fc80e2186d44</t>
        </is>
      </c>
      <c r="B49" s="25" t="inlineStr">
        <is>
          <t>15/02/2026</t>
        </is>
      </c>
      <c r="C49" s="25" t="inlineStr">
        <is>
          <t>Senior Mechanical Engineer - Water</t>
        </is>
      </c>
      <c r="D49" s="25" t="inlineStr">
        <is>
          <t>AECOM</t>
        </is>
      </c>
      <c r="E49" s="25" t="inlineStr">
        <is>
          <t>Croydon, London</t>
        </is>
      </c>
      <c r="F49" s="25" t="inlineStr">
        <is>
          <t>£45,115 – £45,115</t>
        </is>
      </c>
      <c r="G49" s="25" t="inlineStr">
        <is>
          <t>Adzuna UK</t>
        </is>
      </c>
      <c r="H49" s="21" t="inlineStr">
        <is>
          <t>CONFIRMED</t>
        </is>
      </c>
      <c r="I49" s="25" t="n">
        <v>55</v>
      </c>
      <c r="J49" s="26" t="inlineStr">
        <is>
          <t>Apply Here</t>
        </is>
      </c>
      <c r="K49" s="27" t="inlineStr"/>
      <c r="L49" s="27" t="inlineStr"/>
      <c r="M49" s="27" t="inlineStr">
        <is>
          <t>Pending</t>
        </is>
      </c>
      <c r="N49" s="28" t="inlineStr"/>
      <c r="O49" s="27" t="inlineStr"/>
    </row>
    <row r="50" ht="16" customHeight="1" s="18">
      <c r="A50" s="20" t="inlineStr">
        <is>
          <t>52d7faad0dee</t>
        </is>
      </c>
      <c r="B50" s="20" t="inlineStr">
        <is>
          <t>15/02/2026</t>
        </is>
      </c>
      <c r="C50" s="20" t="inlineStr">
        <is>
          <t>Grow Your Career In The Water Sector - Expression of Interest</t>
        </is>
      </c>
      <c r="D50" s="20" t="inlineStr">
        <is>
          <t>AECOM</t>
        </is>
      </c>
      <c r="E50" s="20" t="inlineStr">
        <is>
          <t>St. Albans, Hertfordshire</t>
        </is>
      </c>
      <c r="F50" s="20" t="inlineStr">
        <is>
          <t>£45,523 – £45,523</t>
        </is>
      </c>
      <c r="G50" s="20" t="inlineStr">
        <is>
          <t>Adzuna UK</t>
        </is>
      </c>
      <c r="H50" s="21" t="inlineStr">
        <is>
          <t>CONFIRMED</t>
        </is>
      </c>
      <c r="I50" s="20" t="n">
        <v>55</v>
      </c>
      <c r="J50" s="22" t="inlineStr">
        <is>
          <t>Apply Here</t>
        </is>
      </c>
      <c r="K50" s="23" t="inlineStr"/>
      <c r="L50" s="23" t="inlineStr"/>
      <c r="M50" s="23" t="inlineStr">
        <is>
          <t>Pending</t>
        </is>
      </c>
      <c r="N50" s="24" t="inlineStr"/>
      <c r="O50" s="23" t="inlineStr"/>
    </row>
    <row r="51" ht="16" customHeight="1" s="18">
      <c r="A51" s="25" t="inlineStr">
        <is>
          <t>697a1f124224</t>
        </is>
      </c>
      <c r="B51" s="25" t="inlineStr">
        <is>
          <t>15/02/2026</t>
        </is>
      </c>
      <c r="C51" s="25" t="inlineStr">
        <is>
          <t>Grow Your Career In The Water Sector - Expression of Interest</t>
        </is>
      </c>
      <c r="D51" s="25" t="inlineStr">
        <is>
          <t>AECOM</t>
        </is>
      </c>
      <c r="E51" s="25" t="inlineStr">
        <is>
          <t>London, UK</t>
        </is>
      </c>
      <c r="F51" s="25" t="inlineStr">
        <is>
          <t>£46,865 – £46,865</t>
        </is>
      </c>
      <c r="G51" s="25" t="inlineStr">
        <is>
          <t>Adzuna UK</t>
        </is>
      </c>
      <c r="H51" s="21" t="inlineStr">
        <is>
          <t>CONFIRMED</t>
        </is>
      </c>
      <c r="I51" s="25" t="n">
        <v>55</v>
      </c>
      <c r="J51" s="26" t="inlineStr">
        <is>
          <t>Apply Here</t>
        </is>
      </c>
      <c r="K51" s="27" t="inlineStr"/>
      <c r="L51" s="27" t="inlineStr"/>
      <c r="M51" s="27" t="inlineStr">
        <is>
          <t>Pending</t>
        </is>
      </c>
      <c r="N51" s="28" t="inlineStr"/>
      <c r="O51" s="27" t="inlineStr"/>
    </row>
    <row r="52" ht="16" customHeight="1" s="18">
      <c r="A52" s="20" t="inlineStr">
        <is>
          <t>375ca6687a66</t>
        </is>
      </c>
      <c r="B52" s="20" t="inlineStr">
        <is>
          <t>15/02/2026</t>
        </is>
      </c>
      <c r="C52" s="20" t="inlineStr">
        <is>
          <t>Grow Your Career In The Water Sector - Expression of Interest</t>
        </is>
      </c>
      <c r="D52" s="20" t="inlineStr">
        <is>
          <t>AECOM</t>
        </is>
      </c>
      <c r="E52" s="20" t="inlineStr">
        <is>
          <t>Croydon, London</t>
        </is>
      </c>
      <c r="F52" s="20" t="inlineStr">
        <is>
          <t>£44,821 – £44,821</t>
        </is>
      </c>
      <c r="G52" s="20" t="inlineStr">
        <is>
          <t>Adzuna UK</t>
        </is>
      </c>
      <c r="H52" s="21" t="inlineStr">
        <is>
          <t>CONFIRMED</t>
        </is>
      </c>
      <c r="I52" s="20" t="n">
        <v>55</v>
      </c>
      <c r="J52" s="22" t="inlineStr">
        <is>
          <t>Apply Here</t>
        </is>
      </c>
      <c r="K52" s="23" t="inlineStr"/>
      <c r="L52" s="23" t="inlineStr"/>
      <c r="M52" s="23" t="inlineStr">
        <is>
          <t>Pending</t>
        </is>
      </c>
      <c r="N52" s="24" t="inlineStr"/>
      <c r="O52" s="23" t="inlineStr"/>
    </row>
    <row r="53" ht="16" customHeight="1" s="18">
      <c r="A53" s="25" t="inlineStr">
        <is>
          <t>36cef26b3177</t>
        </is>
      </c>
      <c r="B53" s="25" t="inlineStr">
        <is>
          <t>15/02/2026</t>
        </is>
      </c>
      <c r="C53" s="25" t="inlineStr">
        <is>
          <t>Water &amp; Wastewater Sales Engineer - South UK Infrastructure</t>
        </is>
      </c>
      <c r="D53" s="25" t="inlineStr">
        <is>
          <t>Victaulic</t>
        </is>
      </c>
      <c r="E53" s="25" t="inlineStr">
        <is>
          <t>London, UK</t>
        </is>
      </c>
      <c r="F53" s="25" t="inlineStr">
        <is>
          <t>£51,376 – £51,376</t>
        </is>
      </c>
      <c r="G53" s="25" t="inlineStr">
        <is>
          <t>Adzuna UK</t>
        </is>
      </c>
      <c r="H53" s="21" t="inlineStr">
        <is>
          <t>CONFIRMED</t>
        </is>
      </c>
      <c r="I53" s="25" t="n">
        <v>55</v>
      </c>
      <c r="J53" s="26" t="inlineStr">
        <is>
          <t>Apply Here</t>
        </is>
      </c>
      <c r="K53" s="27" t="inlineStr"/>
      <c r="L53" s="27" t="inlineStr"/>
      <c r="M53" s="27" t="inlineStr">
        <is>
          <t>Pending</t>
        </is>
      </c>
      <c r="N53" s="28" t="inlineStr"/>
      <c r="O53" s="27" t="inlineStr"/>
    </row>
    <row r="54" ht="16" customHeight="1" s="18">
      <c r="A54" s="20" t="inlineStr">
        <is>
          <t>1868dd8b22f1</t>
        </is>
      </c>
      <c r="B54" s="20" t="inlineStr">
        <is>
          <t>15/02/2026</t>
        </is>
      </c>
      <c r="C54" s="20" t="inlineStr">
        <is>
          <t>Senior Clean Water Process Engineer</t>
        </is>
      </c>
      <c r="D54" s="20" t="inlineStr">
        <is>
          <t>Manpower UK Ltd</t>
        </is>
      </c>
      <c r="E54" s="20" t="inlineStr">
        <is>
          <t>Farringdon, Central London</t>
        </is>
      </c>
      <c r="F54" s="20" t="inlineStr">
        <is>
          <t>£50,810 – £50,810</t>
        </is>
      </c>
      <c r="G54" s="20" t="inlineStr">
        <is>
          <t>Adzuna UK</t>
        </is>
      </c>
      <c r="H54" s="21" t="inlineStr">
        <is>
          <t>CONFIRMED</t>
        </is>
      </c>
      <c r="I54" s="20" t="n">
        <v>55</v>
      </c>
      <c r="J54" s="22" t="inlineStr">
        <is>
          <t>Apply Here</t>
        </is>
      </c>
      <c r="K54" s="23" t="inlineStr"/>
      <c r="L54" s="23" t="inlineStr"/>
      <c r="M54" s="23" t="inlineStr">
        <is>
          <t>Pending</t>
        </is>
      </c>
      <c r="N54" s="24" t="inlineStr"/>
      <c r="O54" s="23" t="inlineStr"/>
    </row>
    <row r="55" ht="16" customHeight="1" s="18">
      <c r="A55" s="25" t="inlineStr">
        <is>
          <t>75d777dccb91</t>
        </is>
      </c>
      <c r="B55" s="25" t="inlineStr">
        <is>
          <t>15/02/2026</t>
        </is>
      </c>
      <c r="C55" s="25" t="inlineStr">
        <is>
          <t>Assistant Engineer - Clean Water Modelling</t>
        </is>
      </c>
      <c r="D55" s="25" t="inlineStr">
        <is>
          <t>WSP</t>
        </is>
      </c>
      <c r="E55" s="25" t="inlineStr">
        <is>
          <t>Aldwych, Central London</t>
        </is>
      </c>
      <c r="F55" s="25" t="inlineStr">
        <is>
          <t>£45,719 – £45,719</t>
        </is>
      </c>
      <c r="G55" s="25" t="inlineStr">
        <is>
          <t>Adzuna UK</t>
        </is>
      </c>
      <c r="H55" s="21" t="inlineStr">
        <is>
          <t>CONFIRMED</t>
        </is>
      </c>
      <c r="I55" s="25" t="n">
        <v>55</v>
      </c>
      <c r="J55" s="26" t="inlineStr">
        <is>
          <t>Apply Here</t>
        </is>
      </c>
      <c r="K55" s="27" t="inlineStr"/>
      <c r="L55" s="27" t="inlineStr"/>
      <c r="M55" s="27" t="inlineStr">
        <is>
          <t>Pending</t>
        </is>
      </c>
      <c r="N55" s="28" t="inlineStr"/>
      <c r="O55" s="27" t="inlineStr"/>
    </row>
    <row r="56" ht="16" customHeight="1" s="18">
      <c r="A56" s="20" t="inlineStr">
        <is>
          <t>d89f2477442a</t>
        </is>
      </c>
      <c r="B56" s="20" t="inlineStr">
        <is>
          <t>15/02/2026</t>
        </is>
      </c>
      <c r="C56" s="20" t="inlineStr">
        <is>
          <t>Drainage Design Engineer</t>
        </is>
      </c>
      <c r="D56" s="20" t="inlineStr">
        <is>
          <t>Pave Recruit</t>
        </is>
      </c>
      <c r="E56" s="20" t="inlineStr">
        <is>
          <t>Richmond, West London</t>
        </is>
      </c>
      <c r="F56" s="20" t="inlineStr">
        <is>
          <t>£38,000 – £44,000</t>
        </is>
      </c>
      <c r="G56" s="20" t="inlineStr">
        <is>
          <t>Adzuna UK</t>
        </is>
      </c>
      <c r="H56" s="21" t="inlineStr">
        <is>
          <t>CONFIRMED</t>
        </is>
      </c>
      <c r="I56" s="20" t="n">
        <v>55</v>
      </c>
      <c r="J56" s="22" t="inlineStr">
        <is>
          <t>Apply Here</t>
        </is>
      </c>
      <c r="K56" s="23" t="inlineStr"/>
      <c r="L56" s="23" t="inlineStr"/>
      <c r="M56" s="23" t="inlineStr">
        <is>
          <t>Pending</t>
        </is>
      </c>
      <c r="N56" s="24" t="inlineStr"/>
      <c r="O56" s="23" t="inlineStr"/>
    </row>
    <row r="57" ht="16" customHeight="1" s="18">
      <c r="A57" s="25" t="inlineStr">
        <is>
          <t>0cbcac4a86b9</t>
        </is>
      </c>
      <c r="B57" s="25" t="inlineStr">
        <is>
          <t>15/02/2026</t>
        </is>
      </c>
      <c r="C57" s="25" t="inlineStr">
        <is>
          <t>Pollution Response Technician</t>
        </is>
      </c>
      <c r="D57" s="25" t="inlineStr">
        <is>
          <t>Lanes Group</t>
        </is>
      </c>
      <c r="E57" s="25" t="inlineStr">
        <is>
          <t>Tudeley, Tonbridge</t>
        </is>
      </c>
      <c r="F57" s="25" t="inlineStr">
        <is>
          <t>£54,416 – £54,416</t>
        </is>
      </c>
      <c r="G57" s="25" t="inlineStr">
        <is>
          <t>Adzuna UK</t>
        </is>
      </c>
      <c r="H57" s="21" t="inlineStr">
        <is>
          <t>CONFIRMED</t>
        </is>
      </c>
      <c r="I57" s="25" t="n">
        <v>55</v>
      </c>
      <c r="J57" s="26" t="inlineStr">
        <is>
          <t>Apply Here</t>
        </is>
      </c>
      <c r="K57" s="27" t="inlineStr"/>
      <c r="L57" s="27" t="inlineStr"/>
      <c r="M57" s="27" t="inlineStr">
        <is>
          <t>Pending</t>
        </is>
      </c>
      <c r="N57" s="28" t="inlineStr"/>
      <c r="O57" s="27" t="inlineStr"/>
    </row>
    <row r="58" ht="16" customHeight="1" s="18">
      <c r="A58" s="20" t="inlineStr">
        <is>
          <t>296cf959bd9d</t>
        </is>
      </c>
      <c r="B58" s="20" t="inlineStr">
        <is>
          <t>15/02/2026</t>
        </is>
      </c>
      <c r="C58" s="20" t="inlineStr">
        <is>
          <t>Drainage Operations Manager</t>
        </is>
      </c>
      <c r="D58" s="20" t="inlineStr">
        <is>
          <t>Vector Recruitment</t>
        </is>
      </c>
      <c r="E58" s="20" t="inlineStr">
        <is>
          <t>Essex, Eastern England</t>
        </is>
      </c>
      <c r="F58" s="20" t="inlineStr">
        <is>
          <t>£50,000 – £55,000</t>
        </is>
      </c>
      <c r="G58" s="20" t="inlineStr">
        <is>
          <t>Adzuna UK</t>
        </is>
      </c>
      <c r="H58" s="21" t="inlineStr">
        <is>
          <t>CONFIRMED</t>
        </is>
      </c>
      <c r="I58" s="20" t="n">
        <v>55</v>
      </c>
      <c r="J58" s="22" t="inlineStr">
        <is>
          <t>Apply Here</t>
        </is>
      </c>
      <c r="K58" s="23" t="inlineStr"/>
      <c r="L58" s="23" t="inlineStr"/>
      <c r="M58" s="23" t="inlineStr">
        <is>
          <t>Pending</t>
        </is>
      </c>
      <c r="N58" s="24" t="inlineStr"/>
      <c r="O58" s="23" t="inlineStr"/>
    </row>
    <row r="59" ht="16" customHeight="1" s="18">
      <c r="A59" s="25" t="inlineStr">
        <is>
          <t>3fe9e9bb4a7a</t>
        </is>
      </c>
      <c r="B59" s="25" t="inlineStr">
        <is>
          <t>15/02/2026</t>
        </is>
      </c>
      <c r="C59" s="25" t="inlineStr">
        <is>
          <t>Senior Quantity Surveyor</t>
        </is>
      </c>
      <c r="D59" s="25" t="inlineStr">
        <is>
          <t>Intersect Global Ltd</t>
        </is>
      </c>
      <c r="E59" s="25" t="inlineStr">
        <is>
          <t>Aylesbury, Buckinghamshire</t>
        </is>
      </c>
      <c r="F59" s="25" t="inlineStr">
        <is>
          <t>£9,100 – £117,000</t>
        </is>
      </c>
      <c r="G59" s="25" t="inlineStr">
        <is>
          <t>Adzuna UK</t>
        </is>
      </c>
      <c r="H59" s="21" t="inlineStr">
        <is>
          <t>CONFIRMED</t>
        </is>
      </c>
      <c r="I59" s="25" t="n">
        <v>55</v>
      </c>
      <c r="J59" s="26" t="inlineStr">
        <is>
          <t>Apply Here</t>
        </is>
      </c>
      <c r="K59" s="27" t="inlineStr"/>
      <c r="L59" s="27" t="inlineStr"/>
      <c r="M59" s="27" t="inlineStr">
        <is>
          <t>Pending</t>
        </is>
      </c>
      <c r="N59" s="28" t="inlineStr"/>
      <c r="O59" s="27" t="inlineStr"/>
    </row>
    <row r="60" ht="16" customHeight="1" s="18">
      <c r="A60" s="20" t="inlineStr">
        <is>
          <t>6942548a1bb3</t>
        </is>
      </c>
      <c r="B60" s="20" t="inlineStr">
        <is>
          <t>15/02/2026</t>
        </is>
      </c>
      <c r="C60" s="20" t="inlineStr">
        <is>
          <t>Senior Civil Engineer</t>
        </is>
      </c>
      <c r="D60" s="20" t="inlineStr">
        <is>
          <t>Mott MacDonald</t>
        </is>
      </c>
      <c r="E60" s="20" t="inlineStr">
        <is>
          <t>London, UK</t>
        </is>
      </c>
      <c r="F60" s="20" t="inlineStr">
        <is>
          <t>£51,904 – £51,904</t>
        </is>
      </c>
      <c r="G60" s="20" t="inlineStr">
        <is>
          <t>Adzuna UK</t>
        </is>
      </c>
      <c r="H60" s="21" t="inlineStr">
        <is>
          <t>CONFIRMED</t>
        </is>
      </c>
      <c r="I60" s="20" t="n">
        <v>50</v>
      </c>
      <c r="J60" s="22" t="inlineStr">
        <is>
          <t>Apply Here</t>
        </is>
      </c>
      <c r="K60" s="23" t="inlineStr"/>
      <c r="L60" s="23" t="inlineStr"/>
      <c r="M60" s="23" t="inlineStr">
        <is>
          <t>Pending</t>
        </is>
      </c>
      <c r="N60" s="24" t="inlineStr"/>
      <c r="O60" s="23" t="inlineStr"/>
    </row>
    <row r="61" ht="16" customHeight="1" s="18">
      <c r="A61" s="25" t="inlineStr">
        <is>
          <t>c788a5f85f8d</t>
        </is>
      </c>
      <c r="B61" s="25" t="inlineStr">
        <is>
          <t>15/02/2026</t>
        </is>
      </c>
      <c r="C61" s="25" t="inlineStr">
        <is>
          <t>Electrical Engineer</t>
        </is>
      </c>
      <c r="D61" s="25" t="inlineStr">
        <is>
          <t>Mott MacDonald</t>
        </is>
      </c>
      <c r="E61" s="25" t="inlineStr">
        <is>
          <t>Caversham, Reading</t>
        </is>
      </c>
      <c r="F61" s="25" t="inlineStr">
        <is>
          <t>£45,633 – £45,633</t>
        </is>
      </c>
      <c r="G61" s="25" t="inlineStr">
        <is>
          <t>Adzuna UK</t>
        </is>
      </c>
      <c r="H61" s="21" t="inlineStr">
        <is>
          <t>CONFIRMED</t>
        </is>
      </c>
      <c r="I61" s="25" t="n">
        <v>50</v>
      </c>
      <c r="J61" s="26" t="inlineStr">
        <is>
          <t>Apply Here</t>
        </is>
      </c>
      <c r="K61" s="27" t="inlineStr"/>
      <c r="L61" s="27" t="inlineStr"/>
      <c r="M61" s="27" t="inlineStr">
        <is>
          <t>Pending</t>
        </is>
      </c>
      <c r="N61" s="28" t="inlineStr"/>
      <c r="O61" s="27" t="inlineStr"/>
    </row>
    <row r="62" ht="16" customHeight="1" s="18">
      <c r="A62" s="20" t="inlineStr">
        <is>
          <t>94d862510980</t>
        </is>
      </c>
      <c r="B62" s="20" t="inlineStr">
        <is>
          <t>15/02/2026</t>
        </is>
      </c>
      <c r="C62" s="20" t="inlineStr">
        <is>
          <t>Electrical Project/Design Engineer</t>
        </is>
      </c>
      <c r="D62" s="20" t="inlineStr">
        <is>
          <t>Matchtech</t>
        </is>
      </c>
      <c r="E62" s="20" t="inlineStr">
        <is>
          <t>Farringdon, Central London</t>
        </is>
      </c>
      <c r="F62" s="20" t="inlineStr">
        <is>
          <t>£40,000 – £50,000</t>
        </is>
      </c>
      <c r="G62" s="20" t="inlineStr">
        <is>
          <t>Adzuna UK</t>
        </is>
      </c>
      <c r="H62" s="21" t="inlineStr">
        <is>
          <t>CONFIRMED</t>
        </is>
      </c>
      <c r="I62" s="20" t="n">
        <v>50</v>
      </c>
      <c r="J62" s="22" t="inlineStr">
        <is>
          <t>Apply Here</t>
        </is>
      </c>
      <c r="K62" s="23" t="inlineStr"/>
      <c r="L62" s="23" t="inlineStr"/>
      <c r="M62" s="23" t="inlineStr">
        <is>
          <t>Pending</t>
        </is>
      </c>
      <c r="N62" s="24" t="inlineStr"/>
      <c r="O62" s="23" t="inlineStr"/>
    </row>
    <row r="63" ht="16" customHeight="1" s="18">
      <c r="A63" s="25" t="inlineStr">
        <is>
          <t>1bea2c6ce4b6</t>
        </is>
      </c>
      <c r="B63" s="25" t="inlineStr">
        <is>
          <t>15/02/2026</t>
        </is>
      </c>
      <c r="C63" s="25" t="inlineStr">
        <is>
          <t>Civil Engineer Project Leader</t>
        </is>
      </c>
      <c r="D63" s="25" t="inlineStr">
        <is>
          <t>Mott MacDonald</t>
        </is>
      </c>
      <c r="E63" s="25" t="inlineStr">
        <is>
          <t>Caversham, Reading</t>
        </is>
      </c>
      <c r="F63" s="25" t="inlineStr">
        <is>
          <t>£48,165 – £48,165</t>
        </is>
      </c>
      <c r="G63" s="25" t="inlineStr">
        <is>
          <t>Adzuna UK</t>
        </is>
      </c>
      <c r="H63" s="21" t="inlineStr">
        <is>
          <t>CONFIRMED</t>
        </is>
      </c>
      <c r="I63" s="25" t="n">
        <v>50</v>
      </c>
      <c r="J63" s="26" t="inlineStr">
        <is>
          <t>Apply Here</t>
        </is>
      </c>
      <c r="K63" s="27" t="inlineStr"/>
      <c r="L63" s="27" t="inlineStr"/>
      <c r="M63" s="27" t="inlineStr">
        <is>
          <t>Pending</t>
        </is>
      </c>
      <c r="N63" s="28" t="inlineStr"/>
      <c r="O63" s="27" t="inlineStr"/>
    </row>
    <row r="64" ht="16" customHeight="1" s="18">
      <c r="A64" s="20" t="inlineStr">
        <is>
          <t>6e3afb8320ae</t>
        </is>
      </c>
      <c r="B64" s="20" t="inlineStr">
        <is>
          <t>15/02/2026</t>
        </is>
      </c>
      <c r="C64" s="20" t="inlineStr">
        <is>
          <t>Civil Engineer (Hybrid)</t>
        </is>
      </c>
      <c r="D64" s="20" t="inlineStr">
        <is>
          <t>Ernest Gordon Recruitment</t>
        </is>
      </c>
      <c r="E64" s="20" t="inlineStr">
        <is>
          <t>Slough, Berkshire</t>
        </is>
      </c>
      <c r="F64" s="20" t="inlineStr">
        <is>
          <t>£55,000 – £55,000</t>
        </is>
      </c>
      <c r="G64" s="20" t="inlineStr">
        <is>
          <t>Adzuna UK</t>
        </is>
      </c>
      <c r="H64" s="21" t="inlineStr">
        <is>
          <t>CONFIRMED</t>
        </is>
      </c>
      <c r="I64" s="20" t="n">
        <v>50</v>
      </c>
      <c r="J64" s="22" t="inlineStr">
        <is>
          <t>Apply Here</t>
        </is>
      </c>
      <c r="K64" s="23" t="inlineStr"/>
      <c r="L64" s="23" t="inlineStr"/>
      <c r="M64" s="23" t="inlineStr">
        <is>
          <t>Pending</t>
        </is>
      </c>
      <c r="N64" s="24" t="inlineStr"/>
      <c r="O64" s="23" t="inlineStr"/>
    </row>
    <row r="65" ht="16" customHeight="1" s="18">
      <c r="A65" s="25" t="inlineStr">
        <is>
          <t>47af7f488d90</t>
        </is>
      </c>
      <c r="B65" s="25" t="inlineStr">
        <is>
          <t>15/02/2026</t>
        </is>
      </c>
      <c r="C65" s="25" t="inlineStr">
        <is>
          <t>Civil Engineer Hybrid</t>
        </is>
      </c>
      <c r="D65" s="25" t="inlineStr">
        <is>
          <t>Ernest Gordon Recruitment Limited</t>
        </is>
      </c>
      <c r="E65" s="25" t="inlineStr">
        <is>
          <t>Slough, Berkshire</t>
        </is>
      </c>
      <c r="F65" s="25" t="inlineStr">
        <is>
          <t>£45,000 – £55,000</t>
        </is>
      </c>
      <c r="G65" s="25" t="inlineStr">
        <is>
          <t>Adzuna UK</t>
        </is>
      </c>
      <c r="H65" s="21" t="inlineStr">
        <is>
          <t>CONFIRMED</t>
        </is>
      </c>
      <c r="I65" s="25" t="n">
        <v>50</v>
      </c>
      <c r="J65" s="26" t="inlineStr">
        <is>
          <t>Apply Here</t>
        </is>
      </c>
      <c r="K65" s="27" t="inlineStr"/>
      <c r="L65" s="27" t="inlineStr"/>
      <c r="M65" s="27" t="inlineStr">
        <is>
          <t>Pending</t>
        </is>
      </c>
      <c r="N65" s="28" t="inlineStr"/>
      <c r="O65" s="27" t="inlineStr"/>
    </row>
    <row r="66" ht="16" customHeight="1" s="18">
      <c r="A66" s="20" t="inlineStr">
        <is>
          <t>70710063f3c2</t>
        </is>
      </c>
      <c r="B66" s="20" t="inlineStr">
        <is>
          <t>15/02/2026</t>
        </is>
      </c>
      <c r="C66" s="20" t="inlineStr">
        <is>
          <t>Civil Engineer (Water industry)</t>
        </is>
      </c>
      <c r="D66" s="20" t="inlineStr">
        <is>
          <t>Ernest Gordon Recruitment</t>
        </is>
      </c>
      <c r="E66" s="20" t="inlineStr">
        <is>
          <t>Slough, Berkshire</t>
        </is>
      </c>
      <c r="F66" s="20" t="inlineStr">
        <is>
          <t>£55,000 – £55,000</t>
        </is>
      </c>
      <c r="G66" s="20" t="inlineStr">
        <is>
          <t>Adzuna UK</t>
        </is>
      </c>
      <c r="H66" s="21" t="inlineStr">
        <is>
          <t>CONFIRMED</t>
        </is>
      </c>
      <c r="I66" s="20" t="n">
        <v>50</v>
      </c>
      <c r="J66" s="22" t="inlineStr">
        <is>
          <t>Apply Here</t>
        </is>
      </c>
      <c r="K66" s="23" t="inlineStr"/>
      <c r="L66" s="23" t="inlineStr"/>
      <c r="M66" s="23" t="inlineStr">
        <is>
          <t>Pending</t>
        </is>
      </c>
      <c r="N66" s="24" t="inlineStr"/>
      <c r="O66" s="23" t="inlineStr"/>
    </row>
    <row r="67" ht="16" customHeight="1" s="18">
      <c r="A67" s="25" t="inlineStr">
        <is>
          <t>65e21941473e</t>
        </is>
      </c>
      <c r="B67" s="25" t="inlineStr">
        <is>
          <t>15/02/2026</t>
        </is>
      </c>
      <c r="C67" s="25" t="inlineStr">
        <is>
          <t>Civil Engineer Water industry</t>
        </is>
      </c>
      <c r="D67" s="25" t="inlineStr">
        <is>
          <t>Ernest Gordon Recruitment Limited</t>
        </is>
      </c>
      <c r="E67" s="25" t="inlineStr">
        <is>
          <t>Slough, Berkshire</t>
        </is>
      </c>
      <c r="F67" s="25" t="inlineStr">
        <is>
          <t>£45,000 – £55,000</t>
        </is>
      </c>
      <c r="G67" s="25" t="inlineStr">
        <is>
          <t>Adzuna UK</t>
        </is>
      </c>
      <c r="H67" s="21" t="inlineStr">
        <is>
          <t>CONFIRMED</t>
        </is>
      </c>
      <c r="I67" s="25" t="n">
        <v>50</v>
      </c>
      <c r="J67" s="26" t="inlineStr">
        <is>
          <t>Apply Here</t>
        </is>
      </c>
      <c r="K67" s="27" t="inlineStr"/>
      <c r="L67" s="27" t="inlineStr"/>
      <c r="M67" s="27" t="inlineStr">
        <is>
          <t>Pending</t>
        </is>
      </c>
      <c r="N67" s="28" t="inlineStr"/>
      <c r="O67" s="27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style="18" min="1" max="1"/>
    <col width="16" customWidth="1" style="18" min="2" max="2"/>
  </cols>
  <sheetData>
    <row r="1" ht="16.5" customHeight="1" s="18">
      <c r="A1" s="17" t="inlineStr">
        <is>
          <t>Application Stats — Ishaan Kumar</t>
        </is>
      </c>
    </row>
    <row r="3">
      <c r="A3" s="4" t="inlineStr">
        <is>
          <t>Total Jobs Sent</t>
        </is>
      </c>
      <c r="B3" s="5">
        <f>COUNTA('Job Applications'!B2:B5000)</f>
        <v/>
      </c>
    </row>
    <row r="4">
      <c r="A4" s="4" t="inlineStr">
        <is>
          <t>Applied</t>
        </is>
      </c>
      <c r="B4" s="5">
        <f>COUNTIF('Job Applications'!K2:K5000,"Yes")</f>
        <v/>
      </c>
    </row>
    <row r="5">
      <c r="A5" s="4" t="inlineStr">
        <is>
          <t>Not Applied (skipped)</t>
        </is>
      </c>
      <c r="B5" s="5">
        <f>COUNTIF('Job Applications'!K2:K5000,"No")</f>
        <v/>
      </c>
    </row>
    <row r="6">
      <c r="A6" s="4" t="inlineStr">
        <is>
          <t>Awaiting Decision</t>
        </is>
      </c>
      <c r="B6" s="5">
        <f>COUNTIF('Job Applications'!M2:M5000,"Pending")</f>
        <v/>
      </c>
    </row>
    <row r="7">
      <c r="A7" s="4" t="inlineStr">
        <is>
          <t>Interviews</t>
        </is>
      </c>
      <c r="B7" s="5">
        <f>COUNTIF('Job Applications'!M2:M5000,"Interview Invited")</f>
        <v/>
      </c>
    </row>
    <row r="8">
      <c r="A8" s="4" t="inlineStr">
        <is>
          <t>2nd Interviews</t>
        </is>
      </c>
      <c r="B8" s="5">
        <f>COUNTIF('Job Applications'!M2:M5000,"2nd Interview")</f>
        <v/>
      </c>
    </row>
    <row r="9">
      <c r="A9" s="4" t="inlineStr">
        <is>
          <t>Offers</t>
        </is>
      </c>
      <c r="B9" s="5">
        <f>COUNTIF('Job Applications'!M2:M5000,"Offer Received")</f>
        <v/>
      </c>
    </row>
    <row r="10">
      <c r="A10" s="4" t="inlineStr">
        <is>
          <t>Rejected by employer</t>
        </is>
      </c>
      <c r="B10" s="5">
        <f>COUNTIF('Job Applications'!M2:M5000,"Rejected")</f>
        <v/>
      </c>
    </row>
    <row r="11">
      <c r="A11" s="4" t="inlineStr">
        <is>
          <t>Application Rate</t>
        </is>
      </c>
      <c r="B11" s="5">
        <f>IFERROR(TEXT(B3/B2,"0%"),"-")</f>
        <v/>
      </c>
    </row>
    <row r="12">
      <c r="A12" s="4" t="inlineStr">
        <is>
          <t>Interview Rate</t>
        </is>
      </c>
      <c r="B12" s="5">
        <f>IFERROR(TEXT(B6/B3,"0%"),"-")</f>
        <v/>
      </c>
    </row>
    <row r="13">
      <c r="A13" s="6" t="inlineStr">
        <is>
          <t>---</t>
        </is>
      </c>
      <c r="B13" s="7" t="n"/>
    </row>
    <row r="14">
      <c r="A14" s="4" t="inlineStr">
        <is>
          <t>Why No — Too junior</t>
        </is>
      </c>
      <c r="B14" s="5">
        <f>COUNTIF('Job Applications'!N2:N5000,"Too junior / entry level")</f>
        <v/>
      </c>
    </row>
    <row r="15">
      <c r="A15" s="4" t="inlineStr">
        <is>
          <t>Why No — Too senior</t>
        </is>
      </c>
      <c r="B15" s="5">
        <f>COUNTIF('Job Applications'!N2:N5000,"Too senior / overqualified")</f>
        <v/>
      </c>
    </row>
    <row r="16">
      <c r="A16" s="4" t="inlineStr">
        <is>
          <t>Why No — Wrong sector</t>
        </is>
      </c>
      <c r="B16" s="5">
        <f>COUNTIF('Job Applications'!N2:N5000,"Wrong sector / not water")</f>
        <v/>
      </c>
    </row>
    <row r="17">
      <c r="A17" s="4" t="inlineStr">
        <is>
          <t>Why No — Wrong location</t>
        </is>
      </c>
      <c r="B17" s="5">
        <f>COUNTIF('Job Applications'!N2:N5000,"Wrong location / too far")</f>
        <v/>
      </c>
    </row>
    <row r="18">
      <c r="A18" s="4" t="inlineStr">
        <is>
          <t>Why No — Salary too low</t>
        </is>
      </c>
      <c r="B18" s="5">
        <f>COUNTIF('Job Applications'!N2:N5000,"Salary too low")</f>
        <v/>
      </c>
    </row>
    <row r="19">
      <c r="A19" s="4" t="inlineStr">
        <is>
          <t>Why No — Contract role</t>
        </is>
      </c>
      <c r="B19" s="5">
        <f>COUNTIF('Job Applications'!N2:N5000,"Contract / not permanent")</f>
        <v/>
      </c>
    </row>
    <row r="20">
      <c r="A20" s="4" t="inlineStr">
        <is>
          <t>Why No — Missing cert</t>
        </is>
      </c>
      <c r="B20" s="5">
        <f>COUNTIF('Job Applications'!N2:N5000,"Missing required licence/cert")</f>
        <v/>
      </c>
    </row>
    <row r="21">
      <c r="A21" s="4" t="inlineStr">
        <is>
          <t>Why No — Other</t>
        </is>
      </c>
      <c r="B21" s="5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2026-02-15T15:05:01Z</dcterms:modified>
  <cp:lastModifiedBy>Ishaan Kumar</cp:lastModifiedBy>
</cp:coreProperties>
</file>